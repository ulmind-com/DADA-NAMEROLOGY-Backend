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4d4126b86951626b/Desktop/Name Numerology/"/>
    </mc:Choice>
  </mc:AlternateContent>
  <xr:revisionPtr revIDLastSave="1" documentId="13_ncr:1_{7AD38F40-C0C3-4531-889C-11A19A39E54F}" xr6:coauthVersionLast="47" xr6:coauthVersionMax="47" xr10:uidLastSave="{3793E69F-E1EE-40BF-B504-3BD6979ABE52}"/>
  <bookViews>
    <workbookView xWindow="-108" yWindow="-108" windowWidth="23256" windowHeight="12456" xr2:uid="{00000000-000D-0000-FFFF-FFFF00000000}"/>
  </bookViews>
  <sheets>
    <sheet name="Master Database" sheetId="1" r:id="rId1"/>
    <sheet name="AI Interpretation Prompt Builde" sheetId="2" r:id="rId2"/>
    <sheet name="Chaldean Reference Guide" sheetId="3" r:id="rId3"/>
  </sheets>
  <calcPr calcId="191029"/>
</workbook>
</file>

<file path=xl/calcChain.xml><?xml version="1.0" encoding="utf-8"?>
<calcChain xmlns="http://schemas.openxmlformats.org/spreadsheetml/2006/main">
  <c r="A25" i="2" l="1"/>
  <c r="A19" i="2"/>
  <c r="A13" i="2"/>
</calcChain>
</file>

<file path=xl/sharedStrings.xml><?xml version="1.0" encoding="utf-8"?>
<sst xmlns="http://schemas.openxmlformats.org/spreadsheetml/2006/main" count="1159" uniqueCount="528">
  <si>
    <t>CHALDEAN BUSINESS NUMEROLOGY MASTER DATABASE (ENTRIES 1 - 99)</t>
  </si>
  <si>
    <t>Compound No.</t>
  </si>
  <si>
    <t>Root No.</t>
  </si>
  <si>
    <t>Number Title</t>
  </si>
  <si>
    <t>Archetype Category</t>
  </si>
  <si>
    <t>Detailed Description</t>
  </si>
  <si>
    <t>Example Company</t>
  </si>
  <si>
    <t>Chaldean Calculation</t>
  </si>
  <si>
    <t>Industry Compatibility</t>
  </si>
  <si>
    <t>Founder Compatibility</t>
  </si>
  <si>
    <t>Financial Analysis</t>
  </si>
  <si>
    <t>Customer Analysis</t>
  </si>
  <si>
    <t>Stability Score</t>
  </si>
  <si>
    <t>Expansion Score</t>
  </si>
  <si>
    <t>Risk Factor</t>
  </si>
  <si>
    <t>Case Study Summary</t>
  </si>
  <si>
    <t>Number 1</t>
  </si>
  <si>
    <t>The Pioneer Leader</t>
  </si>
  <si>
    <t>Number 1 vibrates with Sun / Leadership &amp; Innovation. It creates a corporate aura centered on the pioneer leader, fostering market influence through targeted operational focus.</t>
  </si>
  <si>
    <t>Target</t>
  </si>
  <si>
    <t>T=4+A=1+R=2+G=3+E=5+T=4 = 19 -&gt; 10 -&gt; 1</t>
  </si>
  <si>
    <t>Technology, Leadership, Media, High-End Luxury, Entrepreneurship</t>
  </si>
  <si>
    <t>Life Path 1, 4, or 6</t>
  </si>
  <si>
    <t>High gross margins; strong pricing power; initial capital intensity yielding market dominance.</t>
  </si>
  <si>
    <t>Aspirational, loyal user base; high brand recognition and top-of-mind recall.</t>
  </si>
  <si>
    <t>Over-expansion, leadership hubris, rigid executive hierarchy.</t>
  </si>
  <si>
    <t>Number 2</t>
  </si>
  <si>
    <t>The Harmonizer &amp; Partner</t>
  </si>
  <si>
    <t>Number 2 vibrates with Moon / Harmony &amp; Partnership. It creates a corporate aura centered on the harmonizer &amp; partner, fostering market influence through targeted operational focus.</t>
  </si>
  <si>
    <t>Brand Matrix 2</t>
  </si>
  <si>
    <t>Letters summing to 2 -&gt; Root 2</t>
  </si>
  <si>
    <t>Hospitality, Counseling, Human Resources, Arts, Design, Caregiving</t>
  </si>
  <si>
    <t>Life Path 2, 5, or 7</t>
  </si>
  <si>
    <t>Steady cash flows; heavy reliance on joint ventures, licensing, and partnership revenues.</t>
  </si>
  <si>
    <t>Deep emotional attachment; relationship-driven sales; high repeat retention.</t>
  </si>
  <si>
    <t>Decision paralysis, sensitivity to external market volatility, partner conflict.</t>
  </si>
  <si>
    <t>Number 3</t>
  </si>
  <si>
    <t>The Visionary Knowledge Empire</t>
  </si>
  <si>
    <t>Number 3 vibrates with Jupiter / Expansion &amp; Knowledge. It creates a corporate aura centered on the visionary knowledge empire, fostering market influence through targeted operational focus.</t>
  </si>
  <si>
    <t>Brand Matrix 3</t>
  </si>
  <si>
    <t>Letters summing to 3 -&gt; Root 3</t>
  </si>
  <si>
    <t>Education, Legal, Publishing, Entertainment, Finance, Higher Learning</t>
  </si>
  <si>
    <t>Life Path 3, 6, or 8</t>
  </si>
  <si>
    <t>Rapid scalable revenue growth; high enterprise value driven by IP and branding.</t>
  </si>
  <si>
    <t>Broad mass-market appeal; highly engaged community; strong educational impact.</t>
  </si>
  <si>
    <t>Over-extended operational budgets, distraction by tangential ventures.</t>
  </si>
  <si>
    <t>Number 4</t>
  </si>
  <si>
    <t>The System Builder &amp; Architect</t>
  </si>
  <si>
    <t>Number 4 vibrates with Rahu / Structure &amp; System Building. It creates a corporate aura centered on the system builder &amp; architect, fostering market influence through targeted operational focus.</t>
  </si>
  <si>
    <t>Brand Matrix 4</t>
  </si>
  <si>
    <t>Letters summing to 4 -&gt; Root 4</t>
  </si>
  <si>
    <t>Real Estate, Construction, IT Infrastructure, Manufacturing, Operations</t>
  </si>
  <si>
    <t>Life Path 4, 7, or 9</t>
  </si>
  <si>
    <t>Asset-heavy balance sheet; solid recurring cash flow; disciplined cost controls.</t>
  </si>
  <si>
    <t>B2B and enterprise focus; client trust rooted in reliability and security.</t>
  </si>
  <si>
    <t>Regulatory friction, slow adaptation to rapid technological disruption.</t>
  </si>
  <si>
    <t>Number 5</t>
  </si>
  <si>
    <t>The Agile Catalyst &amp; Trader</t>
  </si>
  <si>
    <t>Number 5 vibrates with Mercury / Commerce &amp; Agility. It creates a corporate aura centered on the agile catalyst &amp; trader, fostering market influence through targeted operational focus.</t>
  </si>
  <si>
    <t>Brand Matrix 5</t>
  </si>
  <si>
    <t>Letters summing to 5 -&gt; Root 5</t>
  </si>
  <si>
    <t>E-Commerce, Public Relations, Marketing, Sales, Logistics, Communications</t>
  </si>
  <si>
    <t>Life Path 5, 8, or 1</t>
  </si>
  <si>
    <t>High transaction velocity; dynamic yield management; strong short-term liquidity.</t>
  </si>
  <si>
    <t>Tech-savvy, fast-moving consumer base; highly susceptible to viral trends.</t>
  </si>
  <si>
    <t>Brand fatigue, high customer churn without continuous innovation.</t>
  </si>
  <si>
    <t>Number 6</t>
  </si>
  <si>
    <t>The Luxury &amp; Aesthetic Master</t>
  </si>
  <si>
    <t>Number 6 vibrates with Venus / Luxury, Beauty &amp; Harmony. It creates a corporate aura centered on the luxury &amp; aesthetic master, fostering market influence through targeted operational focus.</t>
  </si>
  <si>
    <t>Brand Matrix 6</t>
  </si>
  <si>
    <t>Letters summing to 6 -&gt; Root 6</t>
  </si>
  <si>
    <t>Fashion, Beauty, Interior Design, Luxury Goods, Entertainment, Wellness</t>
  </si>
  <si>
    <t>Life Path 6, 9, or 2</t>
  </si>
  <si>
    <t>Premium margins; exceptional lifetime customer value; strong brand equity value.</t>
  </si>
  <si>
    <t>High-net-worth and lifestyle-conscious buyers; intense organic word-of-mouth.</t>
  </si>
  <si>
    <t>Vulnerability to macro consumer-spending contractions.</t>
  </si>
  <si>
    <t>Number 7</t>
  </si>
  <si>
    <t>The Specialized Innovator</t>
  </si>
  <si>
    <t>Number 7 vibrates with Ketu / Research &amp; Specialization. It creates a corporate aura centered on the specialized innovator, fostering market influence through targeted operational focus.</t>
  </si>
  <si>
    <t>Brand Matrix 7</t>
  </si>
  <si>
    <t>Letters summing to 7 -&gt; Root 7</t>
  </si>
  <si>
    <t>Research, Analytics, Healthcare, Data Science, Pharmaceuticals, Consulting</t>
  </si>
  <si>
    <t>Life Path 7, 1, or 3</t>
  </si>
  <si>
    <t>High R&amp;D investment; protected patent revenue; premium niche monetization.</t>
  </si>
  <si>
    <t>Discerning, expert client base seeking specialized knowledge or advanced technology.</t>
  </si>
  <si>
    <t>Niche market limitations, communication gaps with mainstream audiences.</t>
  </si>
  <si>
    <t>Number 8</t>
  </si>
  <si>
    <t>The Institutional Titan</t>
  </si>
  <si>
    <t>Number 8 vibrates with Saturn / Authority, Real Estate &amp; Scale. It creates a corporate aura centered on the institutional titan, fostering market influence through targeted operational focus.</t>
  </si>
  <si>
    <t>Brand Matrix 8</t>
  </si>
  <si>
    <t>Letters summing to 8 -&gt; Root 8</t>
  </si>
  <si>
    <t>Finance, Real Estate, Enterprise Tech, Infrastructure, Heavy Industry</t>
  </si>
  <si>
    <t>Life Path 8, 2, or 4</t>
  </si>
  <si>
    <t>Massive capital accumulation; compound interest growth; strong balance sheet reserves.</t>
  </si>
  <si>
    <t>Institutional, corporate, and infrastructure-level client networks.</t>
  </si>
  <si>
    <t>Heavy legal/regulatory oversight, slow organizational mobility.</t>
  </si>
  <si>
    <t>Number 9</t>
  </si>
  <si>
    <t>The Global Dynamic Crusader</t>
  </si>
  <si>
    <t>Number 9 vibrates with Mars / Execution, Drive &amp; Global Reach. It creates a corporate aura centered on the global dynamic crusader, fostering market influence through targeted operational focus.</t>
  </si>
  <si>
    <t>Brand Matrix 9</t>
  </si>
  <si>
    <t>Letters summing to 9 -&gt; Root 9</t>
  </si>
  <si>
    <t>Sports, Defense, Engineering, Real Estate Development, Energy, Tech Ventures</t>
  </si>
  <si>
    <t>Life Path 9, 3, or 5</t>
  </si>
  <si>
    <t>Global revenue streams; multi-market penetration; aggressive capital deployment.</t>
  </si>
  <si>
    <t>Global demographic reach; broad movement-driven brand loyalty.</t>
  </si>
  <si>
    <t>Geopolitical exposure, aggressive competitor friction, operational burn.</t>
  </si>
  <si>
    <t>Number 10</t>
  </si>
  <si>
    <t>Number 10 vibrates with Sun / Leadership &amp; Innovation. It creates a corporate aura centered on the pioneer leader, fostering market influence through targeted operational focus.</t>
  </si>
  <si>
    <t>Apple</t>
  </si>
  <si>
    <t>A=1+P=8+P=8+L=3+E=5 = 25 -&gt; 7 (Product Apple Inc = 10)</t>
  </si>
  <si>
    <t>Number 11</t>
  </si>
  <si>
    <t>The Harmonizer &amp; Partner (Master Number)</t>
  </si>
  <si>
    <t>Number 11 vibrates with Moon / Harmony &amp; Partnership. It creates a corporate aura centered on the harmonizer &amp; partner (master number), fostering market influence through targeted operational focus.</t>
  </si>
  <si>
    <t>Adidas</t>
  </si>
  <si>
    <t>A=1+D=4+I=1+D=4+A=1+S=3 = 14 -&gt; 5</t>
  </si>
  <si>
    <t>Number 12</t>
  </si>
  <si>
    <t>Number 12 vibrates with Jupiter / Expansion &amp; Knowledge. It creates a corporate aura centered on the visionary knowledge empire, fostering market influence through targeted operational focus.</t>
  </si>
  <si>
    <t>Lego</t>
  </si>
  <si>
    <t>L=3+E=5+G=3+O=7 = 18 -&gt; 9</t>
  </si>
  <si>
    <t>Number 13</t>
  </si>
  <si>
    <t>The System Builder &amp; Architect (Karmic Number)</t>
  </si>
  <si>
    <t>Number 13 vibrates with Rahu / Structure &amp; System Building. It creates a corporate aura centered on the system builder &amp; architect (karmic number), fostering market influence through targeted operational focus.</t>
  </si>
  <si>
    <t>Oracle</t>
  </si>
  <si>
    <t>O=7+R=2+A=1+C=3+L=3+E=5 = 21 -&gt; 3</t>
  </si>
  <si>
    <t>Number 14</t>
  </si>
  <si>
    <t>The Agile Catalyst &amp; Trader (Karmic Number)</t>
  </si>
  <si>
    <t>Number 14 vibrates with Mercury / Commerce &amp; Agility. It creates a corporate aura centered on the agile catalyst &amp; trader (karmic number), fostering market influence through targeted operational focus.</t>
  </si>
  <si>
    <t>Tesla</t>
  </si>
  <si>
    <t>T=4+E=5+S=3+L=3+A=1 = 16 -&gt; 7</t>
  </si>
  <si>
    <t>Number 15</t>
  </si>
  <si>
    <t>Number 15 vibrates with Venus / Luxury, Beauty &amp; Harmony. It creates a corporate aura centered on the luxury &amp; aesthetic master, fostering market influence through targeted operational focus.</t>
  </si>
  <si>
    <t>Nike</t>
  </si>
  <si>
    <t>N=5+I=1+K=2+E=5 = 13 -&gt; 4</t>
  </si>
  <si>
    <t>Number 16</t>
  </si>
  <si>
    <t>The Specialized Innovator (Karmic Number)</t>
  </si>
  <si>
    <t>Number 16 vibrates with Ketu / Research &amp; Specialization. It creates a corporate aura centered on the specialized innovator (karmic number), fostering market influence through targeted operational focus.</t>
  </si>
  <si>
    <t>Brand Matrix 16</t>
  </si>
  <si>
    <t>Letters summing to 16 -&gt; Root 7</t>
  </si>
  <si>
    <t>Number 17</t>
  </si>
  <si>
    <t>Number 17 vibrates with Saturn / Authority, Real Estate &amp; Scale. It creates a corporate aura centered on the institutional titan, fostering market influence through targeted operational focus.</t>
  </si>
  <si>
    <t>Brand Matrix 17</t>
  </si>
  <si>
    <t>Letters summing to 17 -&gt; Root 8</t>
  </si>
  <si>
    <t>Number 18</t>
  </si>
  <si>
    <t>Number 18 vibrates with Mars / Execution, Drive &amp; Global Reach. It creates a corporate aura centered on the global dynamic crusader, fostering market influence through targeted operational focus.</t>
  </si>
  <si>
    <t>Brand Matrix 18</t>
  </si>
  <si>
    <t>Letters summing to 18 -&gt; Root 9</t>
  </si>
  <si>
    <t>Number 19</t>
  </si>
  <si>
    <t>The Pioneer Leader (Karmic Number)</t>
  </si>
  <si>
    <t>Number 19 vibrates with Sun / Leadership &amp; Innovation. It creates a corporate aura centered on the pioneer leader (karmic number), fostering market influence through targeted operational focus.</t>
  </si>
  <si>
    <t>Amazon</t>
  </si>
  <si>
    <t>A=1+M=4+A=1+Z=7+O=7+N=5 = 25 -&gt; 7</t>
  </si>
  <si>
    <t>Number 20</t>
  </si>
  <si>
    <t>Number 20 vibrates with Moon / Harmony &amp; Partnership. It creates a corporate aura centered on the harmonizer &amp; partner, fostering market influence through targeted operational focus.</t>
  </si>
  <si>
    <t>Brand Matrix 20</t>
  </si>
  <si>
    <t>Letters summing to 20 -&gt; Root 2</t>
  </si>
  <si>
    <t>Number 21</t>
  </si>
  <si>
    <t>Number 21 vibrates with Jupiter / Expansion &amp; Knowledge. It creates a corporate aura centered on the visionary knowledge empire, fostering market influence through targeted operational focus.</t>
  </si>
  <si>
    <t>Google</t>
  </si>
  <si>
    <t>G=3+O=7+O=7+G=3+L=3+E=5 = 28 -&gt; 10 -&gt; 1</t>
  </si>
  <si>
    <t>Number 22</t>
  </si>
  <si>
    <t>The System Builder &amp; Architect (Master Number)</t>
  </si>
  <si>
    <t>Number 22 vibrates with Rahu / Structure &amp; System Building. It creates a corporate aura centered on the system builder &amp; architect (master number), fostering market influence through targeted operational focus.</t>
  </si>
  <si>
    <t>Brand Matrix 22</t>
  </si>
  <si>
    <t>Letters summing to 22 -&gt; Root 4</t>
  </si>
  <si>
    <t>Number 23</t>
  </si>
  <si>
    <t>Number 23 vibrates with Mercury / Commerce &amp; Agility. It creates a corporate aura centered on the agile catalyst &amp; trader, fostering market influence through targeted operational focus.</t>
  </si>
  <si>
    <t>Brand Matrix 23</t>
  </si>
  <si>
    <t>Letters summing to 23 -&gt; Root 5</t>
  </si>
  <si>
    <t>Number 24</t>
  </si>
  <si>
    <t>Number 24 vibrates with Venus / Luxury, Beauty &amp; Harmony. It creates a corporate aura centered on the luxury &amp; aesthetic master, fostering market influence through targeted operational focus.</t>
  </si>
  <si>
    <t>Toyota</t>
  </si>
  <si>
    <t>T=4+O=7+Y=1+O=7+T=4+A=1 = 24 -&gt; 6</t>
  </si>
  <si>
    <t>Number 25</t>
  </si>
  <si>
    <t>Number 25 vibrates with Ketu / Research &amp; Specialization. It creates a corporate aura centered on the specialized innovator, fostering market influence through targeted operational focus.</t>
  </si>
  <si>
    <t>Brand Matrix 25</t>
  </si>
  <si>
    <t>Letters summing to 25 -&gt; Root 7</t>
  </si>
  <si>
    <t>Number 26</t>
  </si>
  <si>
    <t>Number 26 vibrates with Saturn / Authority, Real Estate &amp; Scale. It creates a corporate aura centered on the institutional titan, fostering market influence through targeted operational focus.</t>
  </si>
  <si>
    <t>Brand Matrix 26</t>
  </si>
  <si>
    <t>Letters summing to 26 -&gt; Root 8</t>
  </si>
  <si>
    <t>Number 27</t>
  </si>
  <si>
    <t>Number 27 vibrates with Mars / Execution, Drive &amp; Global Reach. It creates a corporate aura centered on the global dynamic crusader, fostering market influence through targeted operational focus.</t>
  </si>
  <si>
    <t>Intel</t>
  </si>
  <si>
    <t>I=1+N=5+T=4+E=5+L=3 = 18 -&gt; 9</t>
  </si>
  <si>
    <t>Number 28</t>
  </si>
  <si>
    <t>Number 28 vibrates with Sun / Leadership &amp; Innovation. It creates a corporate aura centered on the pioneer leader, fostering market influence through targeted operational focus.</t>
  </si>
  <si>
    <t>Samsung</t>
  </si>
  <si>
    <t>S=3+A=1+M=4+S=3+U=6+N=5+G=3 = 25 -&gt; 7</t>
  </si>
  <si>
    <t>Number 29</t>
  </si>
  <si>
    <t>Number 29 vibrates with Moon / Harmony &amp; Partnership. It creates a corporate aura centered on the harmonizer &amp; partner, fostering market influence through targeted operational focus.</t>
  </si>
  <si>
    <t>Brand Matrix 29</t>
  </si>
  <si>
    <t>Letters summing to 29 -&gt; Root 2</t>
  </si>
  <si>
    <t>Number 30</t>
  </si>
  <si>
    <t>Number 30 vibrates with Jupiter / Expansion &amp; Knowledge. It creates a corporate aura centered on the visionary knowledge empire, fostering market influence through targeted operational focus.</t>
  </si>
  <si>
    <t>Brand Matrix 30</t>
  </si>
  <si>
    <t>Letters summing to 30 -&gt; Root 3</t>
  </si>
  <si>
    <t>Number 31</t>
  </si>
  <si>
    <t>Number 31 vibrates with Rahu / Structure &amp; System Building. It creates a corporate aura centered on the system builder &amp; architect, fostering market influence through targeted operational focus.</t>
  </si>
  <si>
    <t>Brand Matrix 31</t>
  </si>
  <si>
    <t>Letters summing to 31 -&gt; Root 4</t>
  </si>
  <si>
    <t>Number 32</t>
  </si>
  <si>
    <t>Number 32 vibrates with Mercury / Commerce &amp; Agility. It creates a corporate aura centered on the agile catalyst &amp; trader, fostering market influence through targeted operational focus.</t>
  </si>
  <si>
    <t>Brand Matrix 32</t>
  </si>
  <si>
    <t>Letters summing to 32 -&gt; Root 5</t>
  </si>
  <si>
    <t>Number 33</t>
  </si>
  <si>
    <t>The Luxury &amp; Aesthetic Master (Master Number)</t>
  </si>
  <si>
    <t>Number 33 vibrates with Venus / Luxury, Beauty &amp; Harmony. It creates a corporate aura centered on the luxury &amp; aesthetic master (master number), fostering market influence through targeted operational focus.</t>
  </si>
  <si>
    <t>Disney</t>
  </si>
  <si>
    <t>D=4+I=1+S=3+N=5+E=5+Y=1 = 19 -&gt; 10 -&gt; 1</t>
  </si>
  <si>
    <t>Number 34</t>
  </si>
  <si>
    <t>Number 34 vibrates with Ketu / Research &amp; Specialization. It creates a corporate aura centered on the specialized innovator, fostering market influence through targeted operational focus.</t>
  </si>
  <si>
    <t>Brand Matrix 34</t>
  </si>
  <si>
    <t>Letters summing to 34 -&gt; Root 7</t>
  </si>
  <si>
    <t>Number 35</t>
  </si>
  <si>
    <t>Number 35 vibrates with Saturn / Authority, Real Estate &amp; Scale. It creates a corporate aura centered on the institutional titan, fostering market influence through targeted operational focus.</t>
  </si>
  <si>
    <t>Brand Matrix 35</t>
  </si>
  <si>
    <t>Letters summing to 35 -&gt; Root 8</t>
  </si>
  <si>
    <t>Number 36</t>
  </si>
  <si>
    <t>Number 36 vibrates with Mars / Execution, Drive &amp; Global Reach. It creates a corporate aura centered on the global dynamic crusader, fostering market influence through targeted operational focus.</t>
  </si>
  <si>
    <t>Brand Matrix 36</t>
  </si>
  <si>
    <t>Letters summing to 36 -&gt; Root 9</t>
  </si>
  <si>
    <t>Number 37</t>
  </si>
  <si>
    <t>Number 37 vibrates with Sun / Leadership &amp; Innovation. It creates a corporate aura centered on the pioneer leader, fostering market influence through targeted operational focus.</t>
  </si>
  <si>
    <t>Microsoft</t>
  </si>
  <si>
    <t>M=4+I=1+C=3+R=2+O=7+S=3+O=7+F=8+T=4 = 39 -&gt; 12 -&gt; 3</t>
  </si>
  <si>
    <t>Number 38</t>
  </si>
  <si>
    <t>Number 38 vibrates with Moon / Harmony &amp; Partnership. It creates a corporate aura centered on the harmonizer &amp; partner, fostering market influence through targeted operational focus.</t>
  </si>
  <si>
    <t>Brand Matrix 38</t>
  </si>
  <si>
    <t>Letters summing to 38 -&gt; Root 2</t>
  </si>
  <si>
    <t>Number 39</t>
  </si>
  <si>
    <t>Number 39 vibrates with Jupiter / Expansion &amp; Knowledge. It creates a corporate aura centered on the visionary knowledge empire, fostering market influence through targeted operational focus.</t>
  </si>
  <si>
    <t>Brand Matrix 39</t>
  </si>
  <si>
    <t>Letters summing to 39 -&gt; Root 3</t>
  </si>
  <si>
    <t>Number 40</t>
  </si>
  <si>
    <t>Number 40 vibrates with Rahu / Structure &amp; System Building. It creates a corporate aura centered on the system builder &amp; architect, fostering market influence through targeted operational focus.</t>
  </si>
  <si>
    <t>Brand Matrix 40</t>
  </si>
  <si>
    <t>Letters summing to 40 -&gt; Root 4</t>
  </si>
  <si>
    <t>Number 41</t>
  </si>
  <si>
    <t>Number 41 vibrates with Mercury / Commerce &amp; Agility. It creates a corporate aura centered on the agile catalyst &amp; trader, fostering market influence through targeted operational focus.</t>
  </si>
  <si>
    <t>Brand Matrix 41</t>
  </si>
  <si>
    <t>Letters summing to 41 -&gt; Root 5</t>
  </si>
  <si>
    <t>Number 42</t>
  </si>
  <si>
    <t>Number 42 vibrates with Venus / Luxury, Beauty &amp; Harmony. It creates a corporate aura centered on the luxury &amp; aesthetic master, fostering market influence through targeted operational focus.</t>
  </si>
  <si>
    <t>Sony</t>
  </si>
  <si>
    <t>S=3+O=7+N=5+Y=1 = 16 -&gt; 7</t>
  </si>
  <si>
    <t>Number 43</t>
  </si>
  <si>
    <t>Number 43 vibrates with Ketu / Research &amp; Specialization. It creates a corporate aura centered on the specialized innovator, fostering market influence through targeted operational focus.</t>
  </si>
  <si>
    <t>Brand Matrix 43</t>
  </si>
  <si>
    <t>Letters summing to 43 -&gt; Root 7</t>
  </si>
  <si>
    <t>Number 44</t>
  </si>
  <si>
    <t>Number 44 vibrates with Saturn / Authority, Real Estate &amp; Scale. It creates a corporate aura centered on the institutional titan, fostering market influence through targeted operational focus.</t>
  </si>
  <si>
    <t>Brand Matrix 44</t>
  </si>
  <si>
    <t>Letters summing to 44 -&gt; Root 8</t>
  </si>
  <si>
    <t>Number 45</t>
  </si>
  <si>
    <t>Number 45 vibrates with Mars / Execution, Drive &amp; Global Reach. It creates a corporate aura centered on the global dynamic crusader, fostering market influence through targeted operational focus.</t>
  </si>
  <si>
    <t>Netflix</t>
  </si>
  <si>
    <t>N=5+E=5+T=4+F=8+L=3+I=1+X=5 = 31 -&gt; 4</t>
  </si>
  <si>
    <t>Number 46</t>
  </si>
  <si>
    <t>Number 46 vibrates with Sun / Leadership &amp; Innovation. It creates a corporate aura centered on the pioneer leader, fostering market influence through targeted operational focus.</t>
  </si>
  <si>
    <t>Starbucks</t>
  </si>
  <si>
    <t>S=3+T=4+A=1+R=2+B=2+U=6+C=3+K=2+S=3 = 26 -&gt; 8</t>
  </si>
  <si>
    <t>Number 47</t>
  </si>
  <si>
    <t>Number 47 vibrates with Moon / Harmony &amp; Partnership. It creates a corporate aura centered on the harmonizer &amp; partner, fostering market influence through targeted operational focus.</t>
  </si>
  <si>
    <t>Brand Matrix 47</t>
  </si>
  <si>
    <t>Letters summing to 47 -&gt; Root 2</t>
  </si>
  <si>
    <t>Number 48</t>
  </si>
  <si>
    <t>Number 48 vibrates with Jupiter / Expansion &amp; Knowledge. It creates a corporate aura centered on the visionary knowledge empire, fostering market influence through targeted operational focus.</t>
  </si>
  <si>
    <t>Brand Matrix 48</t>
  </si>
  <si>
    <t>Letters summing to 48 -&gt; Root 3</t>
  </si>
  <si>
    <t>Number 49</t>
  </si>
  <si>
    <t>Number 49 vibrates with Rahu / Structure &amp; System Building. It creates a corporate aura centered on the system builder &amp; architect, fostering market influence through targeted operational focus.</t>
  </si>
  <si>
    <t>Brand Matrix 49</t>
  </si>
  <si>
    <t>Letters summing to 49 -&gt; Root 4</t>
  </si>
  <si>
    <t>Number 50</t>
  </si>
  <si>
    <t>Number 50 vibrates with Mercury / Commerce &amp; Agility. It creates a corporate aura centered on the agile catalyst &amp; trader, fostering market influence through targeted operational focus.</t>
  </si>
  <si>
    <t>Brand Matrix 50</t>
  </si>
  <si>
    <t>Letters summing to 50 -&gt; Root 5</t>
  </si>
  <si>
    <t>Number 51</t>
  </si>
  <si>
    <t>Number 51 vibrates with Venus / Luxury, Beauty &amp; Harmony. It creates a corporate aura centered on the luxury &amp; aesthetic master, fostering market influence through targeted operational focus.</t>
  </si>
  <si>
    <t>BMW</t>
  </si>
  <si>
    <t>B=2+M=4+W=6 = 12 -&gt; 3</t>
  </si>
  <si>
    <t>Number 52</t>
  </si>
  <si>
    <t>Number 52 vibrates with Ketu / Research &amp; Specialization. It creates a corporate aura centered on the specialized innovator, fostering market influence through targeted operational focus.</t>
  </si>
  <si>
    <t>Brand Matrix 52</t>
  </si>
  <si>
    <t>Letters summing to 52 -&gt; Root 7</t>
  </si>
  <si>
    <t>Number 53</t>
  </si>
  <si>
    <t>Number 53 vibrates with Saturn / Authority, Real Estate &amp; Scale. It creates a corporate aura centered on the institutional titan, fostering market influence through targeted operational focus.</t>
  </si>
  <si>
    <t>Brand Matrix 53</t>
  </si>
  <si>
    <t>Letters summing to 53 -&gt; Root 8</t>
  </si>
  <si>
    <t>Number 54</t>
  </si>
  <si>
    <t>Number 54 vibrates with Mars / Execution, Drive &amp; Global Reach. It creates a corporate aura centered on the global dynamic crusader, fostering market influence through targeted operational focus.</t>
  </si>
  <si>
    <t>Brand Matrix 54</t>
  </si>
  <si>
    <t>Letters summing to 54 -&gt; Root 9</t>
  </si>
  <si>
    <t>Number 55</t>
  </si>
  <si>
    <t>Number 55 vibrates with Sun / Leadership &amp; Innovation. It creates a corporate aura centered on the pioneer leader, fostering market influence through targeted operational focus.</t>
  </si>
  <si>
    <t>Uber</t>
  </si>
  <si>
    <t>U=6+B=2+E=5+R=2 = 15 -&gt; 6</t>
  </si>
  <si>
    <t>Number 56</t>
  </si>
  <si>
    <t>Number 56 vibrates with Moon / Harmony &amp; Partnership. It creates a corporate aura centered on the harmonizer &amp; partner, fostering market influence through targeted operational focus.</t>
  </si>
  <si>
    <t>Brand Matrix 56</t>
  </si>
  <si>
    <t>Letters summing to 56 -&gt; Root 2</t>
  </si>
  <si>
    <t>Number 57</t>
  </si>
  <si>
    <t>Number 57 vibrates with Jupiter / Expansion &amp; Knowledge. It creates a corporate aura centered on the visionary knowledge empire, fostering market influence through targeted operational focus.</t>
  </si>
  <si>
    <t>Brand Matrix 57</t>
  </si>
  <si>
    <t>Letters summing to 57 -&gt; Root 3</t>
  </si>
  <si>
    <t>Number 58</t>
  </si>
  <si>
    <t>Number 58 vibrates with Rahu / Structure &amp; System Building. It creates a corporate aura centered on the system builder &amp; architect, fostering market influence through targeted operational focus.</t>
  </si>
  <si>
    <t>Brand Matrix 58</t>
  </si>
  <si>
    <t>Letters summing to 58 -&gt; Root 4</t>
  </si>
  <si>
    <t>Number 59</t>
  </si>
  <si>
    <t>Number 59 vibrates with Mercury / Commerce &amp; Agility. It creates a corporate aura centered on the agile catalyst &amp; trader, fostering market influence through targeted operational focus.</t>
  </si>
  <si>
    <t>Brand Matrix 59</t>
  </si>
  <si>
    <t>Letters summing to 59 -&gt; Root 5</t>
  </si>
  <si>
    <t>Number 60</t>
  </si>
  <si>
    <t>Number 60 vibrates with Venus / Luxury, Beauty &amp; Harmony. It creates a corporate aura centered on the luxury &amp; aesthetic master, fostering market influence through targeted operational focus.</t>
  </si>
  <si>
    <t>Brand Matrix 60</t>
  </si>
  <si>
    <t>Letters summing to 60 -&gt; Root 6</t>
  </si>
  <si>
    <t>Number 61</t>
  </si>
  <si>
    <t>Number 61 vibrates with Ketu / Research &amp; Specialization. It creates a corporate aura centered on the specialized innovator, fostering market influence through targeted operational focus.</t>
  </si>
  <si>
    <t>Brand Matrix 61</t>
  </si>
  <si>
    <t>Letters summing to 61 -&gt; Root 7</t>
  </si>
  <si>
    <t>Number 62</t>
  </si>
  <si>
    <t>Number 62 vibrates with Saturn / Authority, Real Estate &amp; Scale. It creates a corporate aura centered on the institutional titan, fostering market influence through targeted operational focus.</t>
  </si>
  <si>
    <t>Brand Matrix 62</t>
  </si>
  <si>
    <t>Letters summing to 62 -&gt; Root 8</t>
  </si>
  <si>
    <t>Number 63</t>
  </si>
  <si>
    <t>Number 63 vibrates with Mars / Execution, Drive &amp; Global Reach. It creates a corporate aura centered on the global dynamic crusader, fostering market influence through targeted operational focus.</t>
  </si>
  <si>
    <t>Brand Matrix 63</t>
  </si>
  <si>
    <t>Letters summing to 63 -&gt; Root 9</t>
  </si>
  <si>
    <t>Number 64</t>
  </si>
  <si>
    <t>Number 64 vibrates with Sun / Leadership &amp; Innovation. It creates a corporate aura centered on the pioneer leader, fostering market influence through targeted operational focus.</t>
  </si>
  <si>
    <t>Brand Matrix 64</t>
  </si>
  <si>
    <t>Letters summing to 64 -&gt; Root 1</t>
  </si>
  <si>
    <t>Number 65</t>
  </si>
  <si>
    <t>Number 65 vibrates with Moon / Harmony &amp; Partnership. It creates a corporate aura centered on the harmonizer &amp; partner, fostering market influence through targeted operational focus.</t>
  </si>
  <si>
    <t>Brand Matrix 65</t>
  </si>
  <si>
    <t>Letters summing to 65 -&gt; Root 2</t>
  </si>
  <si>
    <t>Number 66</t>
  </si>
  <si>
    <t>Number 66 vibrates with Jupiter / Expansion &amp; Knowledge. It creates a corporate aura centered on the visionary knowledge empire, fostering market influence through targeted operational focus.</t>
  </si>
  <si>
    <t>Ferrari</t>
  </si>
  <si>
    <t>F=8+E=5+R=2+R=2+A=1+R=2+I=1 = 21 -&gt; 3</t>
  </si>
  <si>
    <t>Number 67</t>
  </si>
  <si>
    <t>Number 67 vibrates with Rahu / Structure &amp; System Building. It creates a corporate aura centered on the system builder &amp; architect, fostering market influence through targeted operational focus.</t>
  </si>
  <si>
    <t>Brand Matrix 67</t>
  </si>
  <si>
    <t>Letters summing to 67 -&gt; Root 4</t>
  </si>
  <si>
    <t>Number 68</t>
  </si>
  <si>
    <t>Number 68 vibrates with Mercury / Commerce &amp; Agility. It creates a corporate aura centered on the agile catalyst &amp; trader, fostering market influence through targeted operational focus.</t>
  </si>
  <si>
    <t>Brand Matrix 68</t>
  </si>
  <si>
    <t>Letters summing to 68 -&gt; Root 5</t>
  </si>
  <si>
    <t>Number 69</t>
  </si>
  <si>
    <t>Number 69 vibrates with Venus / Luxury, Beauty &amp; Harmony. It creates a corporate aura centered on the luxury &amp; aesthetic master, fostering market influence through targeted operational focus.</t>
  </si>
  <si>
    <t>Brand Matrix 69</t>
  </si>
  <si>
    <t>Letters summing to 69 -&gt; Root 6</t>
  </si>
  <si>
    <t>Number 70</t>
  </si>
  <si>
    <t>Number 70 vibrates with Ketu / Research &amp; Specialization. It creates a corporate aura centered on the specialized innovator, fostering market influence through targeted operational focus.</t>
  </si>
  <si>
    <t>Brand Matrix 70</t>
  </si>
  <si>
    <t>Letters summing to 70 -&gt; Root 7</t>
  </si>
  <si>
    <t>Number 71</t>
  </si>
  <si>
    <t>Number 71 vibrates with Saturn / Authority, Real Estate &amp; Scale. It creates a corporate aura centered on the institutional titan, fostering market influence through targeted operational focus.</t>
  </si>
  <si>
    <t>Brand Matrix 71</t>
  </si>
  <si>
    <t>Letters summing to 71 -&gt; Root 8</t>
  </si>
  <si>
    <t>Number 72</t>
  </si>
  <si>
    <t>Number 72 vibrates with Mars / Execution, Drive &amp; Global Reach. It creates a corporate aura centered on the global dynamic crusader, fostering market influence through targeted operational focus.</t>
  </si>
  <si>
    <t>Brand Matrix 72</t>
  </si>
  <si>
    <t>Letters summing to 72 -&gt; Root 9</t>
  </si>
  <si>
    <t>Number 73</t>
  </si>
  <si>
    <t>Number 73 vibrates with Sun / Leadership &amp; Innovation. It creates a corporate aura centered on the pioneer leader, fostering market influence through targeted operational focus.</t>
  </si>
  <si>
    <t>Brand Matrix 73</t>
  </si>
  <si>
    <t>Letters summing to 73 -&gt; Root 1</t>
  </si>
  <si>
    <t>Number 74</t>
  </si>
  <si>
    <t>Number 74 vibrates with Moon / Harmony &amp; Partnership. It creates a corporate aura centered on the harmonizer &amp; partner, fostering market influence through targeted operational focus.</t>
  </si>
  <si>
    <t>Brand Matrix 74</t>
  </si>
  <si>
    <t>Letters summing to 74 -&gt; Root 2</t>
  </si>
  <si>
    <t>Number 75</t>
  </si>
  <si>
    <t>Number 75 vibrates with Jupiter / Expansion &amp; Knowledge. It creates a corporate aura centered on the visionary knowledge empire, fostering market influence through targeted operational focus.</t>
  </si>
  <si>
    <t>Brand Matrix 75</t>
  </si>
  <si>
    <t>Letters summing to 75 -&gt; Root 3</t>
  </si>
  <si>
    <t>Number 76</t>
  </si>
  <si>
    <t>Number 76 vibrates with Rahu / Structure &amp; System Building. It creates a corporate aura centered on the system builder &amp; architect, fostering market influence through targeted operational focus.</t>
  </si>
  <si>
    <t>Brand Matrix 76</t>
  </si>
  <si>
    <t>Letters summing to 76 -&gt; Root 4</t>
  </si>
  <si>
    <t>Number 77</t>
  </si>
  <si>
    <t>Number 77 vibrates with Mercury / Commerce &amp; Agility. It creates a corporate aura centered on the agile catalyst &amp; trader, fostering market influence through targeted operational focus.</t>
  </si>
  <si>
    <t>Spotify</t>
  </si>
  <si>
    <t>S=3+P=8+O=7+T=4+I=1+F=8+Y=1 = 32 -&gt; 5</t>
  </si>
  <si>
    <t>Number 78</t>
  </si>
  <si>
    <t>Number 78 vibrates with Venus / Luxury, Beauty &amp; Harmony. It creates a corporate aura centered on the luxury &amp; aesthetic master, fostering market influence through targeted operational focus.</t>
  </si>
  <si>
    <t>Brand Matrix 78</t>
  </si>
  <si>
    <t>Letters summing to 78 -&gt; Root 6</t>
  </si>
  <si>
    <t>Number 79</t>
  </si>
  <si>
    <t>Number 79 vibrates with Ketu / Research &amp; Specialization. It creates a corporate aura centered on the specialized innovator, fostering market influence through targeted operational focus.</t>
  </si>
  <si>
    <t>Brand Matrix 79</t>
  </si>
  <si>
    <t>Letters summing to 79 -&gt; Root 7</t>
  </si>
  <si>
    <t>Number 80</t>
  </si>
  <si>
    <t>Number 80 vibrates with Saturn / Authority, Real Estate &amp; Scale. It creates a corporate aura centered on the institutional titan, fostering market influence through targeted operational focus.</t>
  </si>
  <si>
    <t>Brand Matrix 80</t>
  </si>
  <si>
    <t>Letters summing to 80 -&gt; Root 8</t>
  </si>
  <si>
    <t>Number 81</t>
  </si>
  <si>
    <t>Number 81 vibrates with Mars / Execution, Drive &amp; Global Reach. It creates a corporate aura centered on the global dynamic crusader, fostering market influence through targeted operational focus.</t>
  </si>
  <si>
    <t>Brand Matrix 81</t>
  </si>
  <si>
    <t>Letters summing to 81 -&gt; Root 9</t>
  </si>
  <si>
    <t>Number 82</t>
  </si>
  <si>
    <t>Number 82 vibrates with Sun / Leadership &amp; Innovation. It creates a corporate aura centered on the pioneer leader, fostering market influence through targeted operational focus.</t>
  </si>
  <si>
    <t>Brand Matrix 82</t>
  </si>
  <si>
    <t>Letters summing to 82 -&gt; Root 1</t>
  </si>
  <si>
    <t>Number 83</t>
  </si>
  <si>
    <t>Number 83 vibrates with Moon / Harmony &amp; Partnership. It creates a corporate aura centered on the harmonizer &amp; partner, fostering market influence through targeted operational focus.</t>
  </si>
  <si>
    <t>Brand Matrix 83</t>
  </si>
  <si>
    <t>Letters summing to 83 -&gt; Root 2</t>
  </si>
  <si>
    <t>Number 84</t>
  </si>
  <si>
    <t>Number 84 vibrates with Jupiter / Expansion &amp; Knowledge. It creates a corporate aura centered on the visionary knowledge empire, fostering market influence through targeted operational focus.</t>
  </si>
  <si>
    <t>Brand Matrix 84</t>
  </si>
  <si>
    <t>Letters summing to 84 -&gt; Root 3</t>
  </si>
  <si>
    <t>Number 85</t>
  </si>
  <si>
    <t>Number 85 vibrates with Rahu / Structure &amp; System Building. It creates a corporate aura centered on the system builder &amp; architect, fostering market influence through targeted operational focus.</t>
  </si>
  <si>
    <t>Brand Matrix 85</t>
  </si>
  <si>
    <t>Letters summing to 85 -&gt; Root 4</t>
  </si>
  <si>
    <t>Number 86</t>
  </si>
  <si>
    <t>Number 86 vibrates with Mercury / Commerce &amp; Agility. It creates a corporate aura centered on the agile catalyst &amp; trader, fostering market influence through targeted operational focus.</t>
  </si>
  <si>
    <t>Brand Matrix 86</t>
  </si>
  <si>
    <t>Letters summing to 86 -&gt; Root 5</t>
  </si>
  <si>
    <t>Number 87</t>
  </si>
  <si>
    <t>Number 87 vibrates with Venus / Luxury, Beauty &amp; Harmony. It creates a corporate aura centered on the luxury &amp; aesthetic master, fostering market influence through targeted operational focus.</t>
  </si>
  <si>
    <t>Brand Matrix 87</t>
  </si>
  <si>
    <t>Letters summing to 87 -&gt; Root 6</t>
  </si>
  <si>
    <t>Number 88</t>
  </si>
  <si>
    <t>Number 88 vibrates with Ketu / Research &amp; Specialization. It creates a corporate aura centered on the specialized innovator, fostering market influence through targeted operational focus.</t>
  </si>
  <si>
    <t>Prada</t>
  </si>
  <si>
    <t>P=8+R=2+A=1+D=4+A=1 = 16 -&gt; 7</t>
  </si>
  <si>
    <t>Number 89</t>
  </si>
  <si>
    <t>Number 89 vibrates with Saturn / Authority, Real Estate &amp; Scale. It creates a corporate aura centered on the institutional titan, fostering market influence through targeted operational focus.</t>
  </si>
  <si>
    <t>Brand Matrix 89</t>
  </si>
  <si>
    <t>Letters summing to 89 -&gt; Root 8</t>
  </si>
  <si>
    <t>Number 90</t>
  </si>
  <si>
    <t>Number 90 vibrates with Mars / Execution, Drive &amp; Global Reach. It creates a corporate aura centered on the global dynamic crusader, fostering market influence through targeted operational focus.</t>
  </si>
  <si>
    <t>Brand Matrix 90</t>
  </si>
  <si>
    <t>Letters summing to 90 -&gt; Root 9</t>
  </si>
  <si>
    <t>Number 91</t>
  </si>
  <si>
    <t>Number 91 vibrates with Sun / Leadership &amp; Innovation. It creates a corporate aura centered on the pioneer leader, fostering market influence through targeted operational focus.</t>
  </si>
  <si>
    <t>Brand Matrix 91</t>
  </si>
  <si>
    <t>Letters summing to 91 -&gt; Root 1</t>
  </si>
  <si>
    <t>Number 92</t>
  </si>
  <si>
    <t>Number 92 vibrates with Moon / Harmony &amp; Partnership. It creates a corporate aura centered on the harmonizer &amp; partner, fostering market influence through targeted operational focus.</t>
  </si>
  <si>
    <t>Brand Matrix 92</t>
  </si>
  <si>
    <t>Letters summing to 92 -&gt; Root 2</t>
  </si>
  <si>
    <t>Number 93</t>
  </si>
  <si>
    <t>Number 93 vibrates with Jupiter / Expansion &amp; Knowledge. It creates a corporate aura centered on the visionary knowledge empire, fostering market influence through targeted operational focus.</t>
  </si>
  <si>
    <t>Brand Matrix 93</t>
  </si>
  <si>
    <t>Letters summing to 93 -&gt; Root 3</t>
  </si>
  <si>
    <t>Number 94</t>
  </si>
  <si>
    <t>Number 94 vibrates with Rahu / Structure &amp; System Building. It creates a corporate aura centered on the system builder &amp; architect, fostering market influence through targeted operational focus.</t>
  </si>
  <si>
    <t>Brand Matrix 94</t>
  </si>
  <si>
    <t>Letters summing to 94 -&gt; Root 4</t>
  </si>
  <si>
    <t>Number 95</t>
  </si>
  <si>
    <t>Number 95 vibrates with Mercury / Commerce &amp; Agility. It creates a corporate aura centered on the agile catalyst &amp; trader, fostering market influence through targeted operational focus.</t>
  </si>
  <si>
    <t>Brand Matrix 95</t>
  </si>
  <si>
    <t>Letters summing to 95 -&gt; Root 5</t>
  </si>
  <si>
    <t>Number 96</t>
  </si>
  <si>
    <t>Number 96 vibrates with Venus / Luxury, Beauty &amp; Harmony. It creates a corporate aura centered on the luxury &amp; aesthetic master, fostering market influence through targeted operational focus.</t>
  </si>
  <si>
    <t>Brand Matrix 96</t>
  </si>
  <si>
    <t>Letters summing to 96 -&gt; Root 6</t>
  </si>
  <si>
    <t>Number 97</t>
  </si>
  <si>
    <t>Number 97 vibrates with Ketu / Research &amp; Specialization. It creates a corporate aura centered on the specialized innovator, fostering market influence through targeted operational focus.</t>
  </si>
  <si>
    <t>Brand Matrix 97</t>
  </si>
  <si>
    <t>Letters summing to 97 -&gt; Root 7</t>
  </si>
  <si>
    <t>Number 98</t>
  </si>
  <si>
    <t>Number 98 vibrates with Saturn / Authority, Real Estate &amp; Scale. It creates a corporate aura centered on the institutional titan, fostering market influence through targeted operational focus.</t>
  </si>
  <si>
    <t>Brand Matrix 98</t>
  </si>
  <si>
    <t>Letters summing to 98 -&gt; Root 8</t>
  </si>
  <si>
    <t>Number 99</t>
  </si>
  <si>
    <t>Number 99 vibrates with Mars / Execution, Drive &amp; Global Reach. It creates a corporate aura centered on the global dynamic crusader, fostering market influence through targeted operational focus.</t>
  </si>
  <si>
    <t>Rolex</t>
  </si>
  <si>
    <t>R=2+O=7+L=3+E=5+X=5 = 22 -&gt; 4</t>
  </si>
  <si>
    <t>AI PROMPT GENERATOR FOR BUSINESS NUMEROLOGY ANALYSIS</t>
  </si>
  <si>
    <t>INTERACTIVE INPUT PANEL</t>
  </si>
  <si>
    <t>Target Business Name:</t>
  </si>
  <si>
    <t>Quantum Pay Tech</t>
  </si>
  <si>
    <t>Target Founder Life Path / Root:</t>
  </si>
  <si>
    <t>Target Industry Sector:</t>
  </si>
  <si>
    <t>Fintech &amp; Financial Infrastructure</t>
  </si>
  <si>
    <t>Compound Number to Analyze:</t>
  </si>
  <si>
    <t>GENERATED AI PROMPTS (READY TO COPY/PASTE)</t>
  </si>
  <si>
    <t>Prompt 1: Comprehensive Brand &amp; Financial Analysis</t>
  </si>
  <si>
    <t>Prompt 2: Investor &amp; Brand Positioning Pitch</t>
  </si>
  <si>
    <t>Prompt 3: Founder-Business Compatibility &amp; Alignment</t>
  </si>
  <si>
    <t>CHALDEAN ALPHABET VALUE MAPPING TABLE</t>
  </si>
  <si>
    <t>Number Value</t>
  </si>
  <si>
    <t>Assigned Letters</t>
  </si>
  <si>
    <t>Vibrational Planetary Ruler</t>
  </si>
  <si>
    <t>Core Strategic Theme</t>
  </si>
  <si>
    <t>Key Positive Traits</t>
  </si>
  <si>
    <t>A, I, J, Q, Y</t>
  </si>
  <si>
    <t>Sun</t>
  </si>
  <si>
    <t>Leadership, Innovation, Originality</t>
  </si>
  <si>
    <t>Pioneering spirit, high ambition, executive authority</t>
  </si>
  <si>
    <t>B, K, R</t>
  </si>
  <si>
    <t>Moon</t>
  </si>
  <si>
    <t>Harmony, Partnerships, Sensitivity</t>
  </si>
  <si>
    <t>Diplomacy, team collaboration, intuitive branding</t>
  </si>
  <si>
    <t>C, G, L, S</t>
  </si>
  <si>
    <t>Jupiter</t>
  </si>
  <si>
    <t>Expansion, Wisdom, Vision</t>
  </si>
  <si>
    <t>Optimism, institutional scale, broad market appeal</t>
  </si>
  <si>
    <t>D, M, T</t>
  </si>
  <si>
    <t>Rahu</t>
  </si>
  <si>
    <t>Structure, Systems, Execution</t>
  </si>
  <si>
    <t>Operational discipline, stability, process efficiency</t>
  </si>
  <si>
    <t>E, H, N, X</t>
  </si>
  <si>
    <t>Mercury</t>
  </si>
  <si>
    <t>Commerce, Agility, Speed</t>
  </si>
  <si>
    <t>Adaptability, rapid transaction speed, viral engagement</t>
  </si>
  <si>
    <t>U, V, W</t>
  </si>
  <si>
    <t>Venus</t>
  </si>
  <si>
    <t>Luxury, Harmony, Elegance</t>
  </si>
  <si>
    <t>Aesthetic excellence, high margins, premium positioning</t>
  </si>
  <si>
    <t>O, Z</t>
  </si>
  <si>
    <t>Ketu</t>
  </si>
  <si>
    <t>Research, Innovation, Analytics</t>
  </si>
  <si>
    <t>Specialization, intellectual property, deep trust</t>
  </si>
  <si>
    <t>F, P</t>
  </si>
  <si>
    <t>Saturn</t>
  </si>
  <si>
    <t>Authority, Enterprise, Longevity</t>
  </si>
  <si>
    <t>Financial accumulation, structural longevity, scale</t>
  </si>
  <si>
    <t>No Letters Assigned in Chaldean System (Holds Sacred Status)</t>
  </si>
  <si>
    <t>Mars</t>
  </si>
  <si>
    <t>Drive, Execution, Global Impact</t>
  </si>
  <si>
    <t>Energy, rapid market conquest, transformative power</t>
  </si>
  <si>
    <t>Future upgrade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</si>
</sst>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scheme val="minor"/>
    </font>
    <font>
      <b/>
      <sz val="16"/>
      <color rgb="FFFFFFFF"/>
      <name val="Calibri"/>
    </font>
    <font>
      <b/>
      <sz val="11"/>
      <color rgb="FFFFFFFF"/>
      <name val="Calibri"/>
    </font>
    <font>
      <b/>
      <sz val="11"/>
      <name val="Calibri"/>
    </font>
    <font>
      <b/>
      <sz val="15"/>
      <color rgb="FFFFFFFF"/>
      <name val="Calibri"/>
    </font>
    <font>
      <b/>
      <sz val="12"/>
      <color rgb="FF1F2937"/>
      <name val="Calibri"/>
    </font>
    <font>
      <b/>
      <sz val="11"/>
      <color rgb="FF1F2937"/>
      <name val="Calibri"/>
    </font>
    <font>
      <sz val="10"/>
      <name val="Consolas"/>
    </font>
  </fonts>
  <fills count="6">
    <fill>
      <patternFill patternType="none"/>
    </fill>
    <fill>
      <patternFill patternType="gray125"/>
    </fill>
    <fill>
      <patternFill patternType="solid">
        <fgColor rgb="FF1F2937"/>
        <bgColor rgb="FF1F2937"/>
      </patternFill>
    </fill>
    <fill>
      <patternFill patternType="solid">
        <fgColor rgb="FFFFFFFF"/>
        <bgColor rgb="FFFFFFFF"/>
      </patternFill>
    </fill>
    <fill>
      <patternFill patternType="solid">
        <fgColor rgb="FFF9FAFB"/>
        <bgColor rgb="FFF9FAFB"/>
      </patternFill>
    </fill>
    <fill>
      <patternFill patternType="solid">
        <fgColor rgb="FFFEF3C7"/>
        <bgColor rgb="FFFEF3C7"/>
      </patternFill>
    </fill>
  </fills>
  <borders count="5">
    <border>
      <left/>
      <right/>
      <top/>
      <bottom/>
      <diagonal/>
    </border>
    <border>
      <left style="thin">
        <color rgb="FFE5E7EB"/>
      </left>
      <right style="thin">
        <color rgb="FFE5E7EB"/>
      </right>
      <top style="thin">
        <color rgb="FFE5E7EB"/>
      </top>
      <bottom style="thin">
        <color rgb="FFE5E7EB"/>
      </bottom>
      <diagonal/>
    </border>
    <border>
      <left style="thin">
        <color rgb="FFD1D5DB"/>
      </left>
      <right style="thin">
        <color rgb="FFD1D5DB"/>
      </right>
      <top style="thin">
        <color rgb="FFD1D5DB"/>
      </top>
      <bottom style="thin">
        <color rgb="FFD1D5DB"/>
      </bottom>
      <diagonal/>
    </border>
    <border>
      <left style="thin">
        <color indexed="64"/>
      </left>
      <right style="thin">
        <color indexed="64"/>
      </right>
      <top style="thin">
        <color indexed="64"/>
      </top>
      <bottom style="thin">
        <color indexed="64"/>
      </bottom>
      <diagonal/>
    </border>
    <border>
      <left style="thin">
        <color rgb="FFE5E7EB"/>
      </left>
      <right style="thin">
        <color rgb="FFE5E7EB"/>
      </right>
      <top style="thin">
        <color rgb="FFE5E7EB"/>
      </top>
      <bottom/>
      <diagonal/>
    </border>
  </borders>
  <cellStyleXfs count="1">
    <xf numFmtId="0" fontId="0" fillId="0" borderId="0"/>
  </cellStyleXfs>
  <cellXfs count="22">
    <xf numFmtId="0" fontId="0" fillId="0" borderId="0" xfId="0"/>
    <xf numFmtId="0" fontId="3" fillId="3" borderId="1" xfId="0" applyFont="1" applyFill="1" applyBorder="1" applyAlignment="1">
      <alignment horizontal="center" vertical="center"/>
    </xf>
    <xf numFmtId="0" fontId="0" fillId="3" borderId="1" xfId="0" applyFill="1" applyBorder="1" applyAlignment="1">
      <alignment horizontal="left" vertical="center" wrapText="1"/>
    </xf>
    <xf numFmtId="0" fontId="3" fillId="4" borderId="1" xfId="0" applyFont="1" applyFill="1" applyBorder="1" applyAlignment="1">
      <alignment horizontal="center" vertical="center"/>
    </xf>
    <xf numFmtId="0" fontId="0" fillId="4" borderId="1" xfId="0" applyFill="1" applyBorder="1" applyAlignment="1">
      <alignment horizontal="left" vertical="center" wrapText="1"/>
    </xf>
    <xf numFmtId="0" fontId="5" fillId="0" borderId="0" xfId="0" applyFont="1"/>
    <xf numFmtId="0" fontId="3" fillId="0" borderId="0" xfId="0" applyFont="1"/>
    <xf numFmtId="0" fontId="0" fillId="5" borderId="2" xfId="0" applyFill="1" applyBorder="1" applyAlignment="1">
      <alignment horizontal="left" vertical="center"/>
    </xf>
    <xf numFmtId="0" fontId="6" fillId="0" borderId="0" xfId="0" applyFont="1"/>
    <xf numFmtId="0" fontId="2" fillId="2" borderId="1" xfId="0" applyFont="1" applyFill="1" applyBorder="1" applyAlignment="1">
      <alignment horizontal="center" vertical="center"/>
    </xf>
    <xf numFmtId="0" fontId="3" fillId="3" borderId="3" xfId="0" applyFont="1" applyFill="1" applyBorder="1" applyAlignment="1">
      <alignment horizontal="center" vertical="center"/>
    </xf>
    <xf numFmtId="0" fontId="0" fillId="3" borderId="3" xfId="0" applyFill="1" applyBorder="1" applyAlignment="1">
      <alignment horizontal="left" vertical="center" wrapText="1"/>
    </xf>
    <xf numFmtId="164" fontId="0" fillId="3" borderId="3" xfId="0" applyNumberFormat="1" applyFill="1" applyBorder="1" applyAlignment="1">
      <alignment horizontal="right" vertical="center"/>
    </xf>
    <xf numFmtId="0" fontId="0" fillId="3" borderId="3" xfId="0" applyFill="1" applyBorder="1" applyAlignment="1">
      <alignment horizontal="center" vertical="center" wrapText="1"/>
    </xf>
    <xf numFmtId="0" fontId="3" fillId="4" borderId="3" xfId="0" applyFont="1" applyFill="1" applyBorder="1" applyAlignment="1">
      <alignment horizontal="center" vertical="center"/>
    </xf>
    <xf numFmtId="0" fontId="0" fillId="4" borderId="3" xfId="0" applyFill="1" applyBorder="1" applyAlignment="1">
      <alignment horizontal="left" vertical="center" wrapText="1"/>
    </xf>
    <xf numFmtId="164" fontId="0" fillId="4" borderId="3" xfId="0" applyNumberFormat="1" applyFill="1" applyBorder="1" applyAlignment="1">
      <alignment horizontal="right" vertical="center"/>
    </xf>
    <xf numFmtId="0" fontId="1" fillId="2" borderId="0" xfId="0" applyFont="1" applyFill="1" applyAlignment="1">
      <alignment horizontal="center" vertical="center"/>
    </xf>
    <xf numFmtId="0" fontId="0" fillId="0" borderId="0" xfId="0"/>
    <xf numFmtId="0" fontId="7" fillId="4" borderId="2" xfId="0" applyFont="1" applyFill="1" applyBorder="1" applyAlignment="1">
      <alignment horizontal="left" vertical="top" wrapText="1"/>
    </xf>
    <xf numFmtId="0" fontId="4" fillId="2" borderId="0" xfId="0" applyFont="1" applyFill="1" applyAlignment="1">
      <alignment horizontal="center" vertical="center"/>
    </xf>
    <xf numFmtId="0" fontId="2" fillId="2" borderId="4" xfId="0" applyFont="1" applyFill="1" applyBorder="1" applyAlignment="1">
      <alignment horizontal="center" vertical="center" wrapText="1"/>
    </xf>
  </cellXfs>
  <cellStyles count="1">
    <cellStyle name="Normal" xfId="0" builtinId="0"/>
  </cellStyles>
  <dxfs count="1">
    <dxf>
      <fill>
        <patternFill patternType="solid">
          <fgColor rgb="FFD1FAE5"/>
          <bgColor rgb="FFD1FAE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3"/>
  <sheetViews>
    <sheetView tabSelected="1" workbookViewId="0">
      <pane xSplit="2" ySplit="4" topLeftCell="D5" activePane="bottomRight" state="frozen"/>
      <selection pane="topRight"/>
      <selection pane="bottomLeft"/>
      <selection pane="bottomRight" activeCell="Q5" sqref="Q5"/>
    </sheetView>
  </sheetViews>
  <sheetFormatPr defaultRowHeight="14.4" x14ac:dyDescent="0.3"/>
  <cols>
    <col min="1" max="1" width="14" customWidth="1"/>
    <col min="2" max="2" width="10" hidden="1" customWidth="1"/>
    <col min="3" max="3" width="16" hidden="1" customWidth="1"/>
    <col min="4" max="4" width="25" customWidth="1"/>
    <col min="5" max="5" width="45" hidden="1" customWidth="1"/>
    <col min="6" max="6" width="18" customWidth="1"/>
    <col min="7" max="7" width="35" hidden="1" customWidth="1"/>
    <col min="8" max="8" width="30" customWidth="1"/>
    <col min="9" max="9" width="22" customWidth="1"/>
    <col min="10" max="11" width="40" hidden="1" customWidth="1"/>
    <col min="12" max="13" width="15" hidden="1" customWidth="1"/>
    <col min="14" max="14" width="35" customWidth="1"/>
    <col min="15" max="15" width="45" customWidth="1"/>
  </cols>
  <sheetData>
    <row r="1" spans="1:15" x14ac:dyDescent="0.3">
      <c r="A1" s="17" t="s">
        <v>0</v>
      </c>
      <c r="B1" s="18"/>
      <c r="C1" s="18"/>
      <c r="D1" s="18"/>
      <c r="E1" s="18"/>
      <c r="F1" s="18"/>
      <c r="G1" s="18"/>
      <c r="H1" s="18"/>
      <c r="I1" s="18"/>
      <c r="J1" s="18"/>
      <c r="K1" s="18"/>
      <c r="L1" s="18"/>
      <c r="M1" s="18"/>
      <c r="N1" s="18"/>
      <c r="O1" s="18"/>
    </row>
    <row r="2" spans="1:15" x14ac:dyDescent="0.3">
      <c r="A2" s="18"/>
      <c r="B2" s="18"/>
      <c r="C2" s="18"/>
      <c r="D2" s="18"/>
      <c r="E2" s="18"/>
      <c r="F2" s="18"/>
      <c r="G2" s="18"/>
      <c r="H2" s="18"/>
      <c r="I2" s="18"/>
      <c r="J2" s="18"/>
      <c r="K2" s="18"/>
      <c r="L2" s="18"/>
      <c r="M2" s="18"/>
      <c r="N2" s="18"/>
      <c r="O2" s="18"/>
    </row>
    <row r="4" spans="1:15" ht="28.05" customHeight="1" x14ac:dyDescent="0.3">
      <c r="A4" s="21" t="s">
        <v>1</v>
      </c>
      <c r="B4" s="21" t="s">
        <v>2</v>
      </c>
      <c r="C4" s="21" t="s">
        <v>3</v>
      </c>
      <c r="D4" s="21" t="s">
        <v>4</v>
      </c>
      <c r="E4" s="21" t="s">
        <v>5</v>
      </c>
      <c r="F4" s="21" t="s">
        <v>6</v>
      </c>
      <c r="G4" s="21" t="s">
        <v>7</v>
      </c>
      <c r="H4" s="21" t="s">
        <v>8</v>
      </c>
      <c r="I4" s="21" t="s">
        <v>9</v>
      </c>
      <c r="J4" s="21" t="s">
        <v>10</v>
      </c>
      <c r="K4" s="21" t="s">
        <v>11</v>
      </c>
      <c r="L4" s="21" t="s">
        <v>12</v>
      </c>
      <c r="M4" s="21" t="s">
        <v>13</v>
      </c>
      <c r="N4" s="21" t="s">
        <v>14</v>
      </c>
      <c r="O4" s="21" t="s">
        <v>15</v>
      </c>
    </row>
    <row r="5" spans="1:15" ht="42" customHeight="1" x14ac:dyDescent="0.3">
      <c r="A5" s="10">
        <v>1</v>
      </c>
      <c r="B5" s="10">
        <v>1</v>
      </c>
      <c r="C5" s="11" t="s">
        <v>16</v>
      </c>
      <c r="D5" s="11" t="s">
        <v>17</v>
      </c>
      <c r="E5" s="11" t="s">
        <v>18</v>
      </c>
      <c r="F5" s="11" t="s">
        <v>19</v>
      </c>
      <c r="G5" s="11" t="s">
        <v>20</v>
      </c>
      <c r="H5" s="11" t="s">
        <v>21</v>
      </c>
      <c r="I5" s="11" t="s">
        <v>22</v>
      </c>
      <c r="J5" s="11" t="s">
        <v>23</v>
      </c>
      <c r="K5" s="11" t="s">
        <v>24</v>
      </c>
      <c r="L5" s="12">
        <v>0.85</v>
      </c>
      <c r="M5" s="12">
        <v>0.92</v>
      </c>
      <c r="N5" s="11" t="s">
        <v>25</v>
      </c>
      <c r="O5" s="13" t="s">
        <v>527</v>
      </c>
    </row>
    <row r="6" spans="1:15" ht="42" customHeight="1" x14ac:dyDescent="0.3">
      <c r="A6" s="14">
        <v>2</v>
      </c>
      <c r="B6" s="14">
        <v>2</v>
      </c>
      <c r="C6" s="15" t="s">
        <v>26</v>
      </c>
      <c r="D6" s="15" t="s">
        <v>27</v>
      </c>
      <c r="E6" s="15" t="s">
        <v>28</v>
      </c>
      <c r="F6" s="15" t="s">
        <v>29</v>
      </c>
      <c r="G6" s="15" t="s">
        <v>30</v>
      </c>
      <c r="H6" s="15" t="s">
        <v>31</v>
      </c>
      <c r="I6" s="15" t="s">
        <v>32</v>
      </c>
      <c r="J6" s="15" t="s">
        <v>33</v>
      </c>
      <c r="K6" s="15" t="s">
        <v>34</v>
      </c>
      <c r="L6" s="16">
        <v>0.88</v>
      </c>
      <c r="M6" s="16">
        <v>0.78</v>
      </c>
      <c r="N6" s="15" t="s">
        <v>35</v>
      </c>
      <c r="O6" s="13" t="s">
        <v>527</v>
      </c>
    </row>
    <row r="7" spans="1:15" ht="42" customHeight="1" x14ac:dyDescent="0.3">
      <c r="A7" s="10">
        <v>3</v>
      </c>
      <c r="B7" s="10">
        <v>3</v>
      </c>
      <c r="C7" s="11" t="s">
        <v>36</v>
      </c>
      <c r="D7" s="11" t="s">
        <v>37</v>
      </c>
      <c r="E7" s="11" t="s">
        <v>38</v>
      </c>
      <c r="F7" s="11" t="s">
        <v>39</v>
      </c>
      <c r="G7" s="11" t="s">
        <v>40</v>
      </c>
      <c r="H7" s="11" t="s">
        <v>41</v>
      </c>
      <c r="I7" s="11" t="s">
        <v>42</v>
      </c>
      <c r="J7" s="11" t="s">
        <v>43</v>
      </c>
      <c r="K7" s="11" t="s">
        <v>44</v>
      </c>
      <c r="L7" s="12">
        <v>0.82</v>
      </c>
      <c r="M7" s="12">
        <v>0.95</v>
      </c>
      <c r="N7" s="11" t="s">
        <v>45</v>
      </c>
      <c r="O7" s="13" t="s">
        <v>527</v>
      </c>
    </row>
    <row r="8" spans="1:15" ht="42" customHeight="1" x14ac:dyDescent="0.3">
      <c r="A8" s="14">
        <v>4</v>
      </c>
      <c r="B8" s="14">
        <v>4</v>
      </c>
      <c r="C8" s="15" t="s">
        <v>46</v>
      </c>
      <c r="D8" s="15" t="s">
        <v>47</v>
      </c>
      <c r="E8" s="15" t="s">
        <v>48</v>
      </c>
      <c r="F8" s="15" t="s">
        <v>49</v>
      </c>
      <c r="G8" s="15" t="s">
        <v>50</v>
      </c>
      <c r="H8" s="15" t="s">
        <v>51</v>
      </c>
      <c r="I8" s="15" t="s">
        <v>52</v>
      </c>
      <c r="J8" s="15" t="s">
        <v>53</v>
      </c>
      <c r="K8" s="15" t="s">
        <v>54</v>
      </c>
      <c r="L8" s="16">
        <v>0.94</v>
      </c>
      <c r="M8" s="16">
        <v>0.74</v>
      </c>
      <c r="N8" s="15" t="s">
        <v>55</v>
      </c>
      <c r="O8" s="13" t="s">
        <v>527</v>
      </c>
    </row>
    <row r="9" spans="1:15" ht="42" customHeight="1" x14ac:dyDescent="0.3">
      <c r="A9" s="10">
        <v>5</v>
      </c>
      <c r="B9" s="10">
        <v>5</v>
      </c>
      <c r="C9" s="11" t="s">
        <v>56</v>
      </c>
      <c r="D9" s="11" t="s">
        <v>57</v>
      </c>
      <c r="E9" s="11" t="s">
        <v>58</v>
      </c>
      <c r="F9" s="11" t="s">
        <v>59</v>
      </c>
      <c r="G9" s="11" t="s">
        <v>60</v>
      </c>
      <c r="H9" s="11" t="s">
        <v>61</v>
      </c>
      <c r="I9" s="11" t="s">
        <v>62</v>
      </c>
      <c r="J9" s="11" t="s">
        <v>63</v>
      </c>
      <c r="K9" s="11" t="s">
        <v>64</v>
      </c>
      <c r="L9" s="12">
        <v>0.75</v>
      </c>
      <c r="M9" s="12">
        <v>0.96</v>
      </c>
      <c r="N9" s="11" t="s">
        <v>65</v>
      </c>
      <c r="O9" s="13" t="s">
        <v>527</v>
      </c>
    </row>
    <row r="10" spans="1:15" ht="42" customHeight="1" x14ac:dyDescent="0.3">
      <c r="A10" s="14">
        <v>6</v>
      </c>
      <c r="B10" s="14">
        <v>6</v>
      </c>
      <c r="C10" s="15" t="s">
        <v>66</v>
      </c>
      <c r="D10" s="15" t="s">
        <v>67</v>
      </c>
      <c r="E10" s="15" t="s">
        <v>68</v>
      </c>
      <c r="F10" s="15" t="s">
        <v>69</v>
      </c>
      <c r="G10" s="15" t="s">
        <v>70</v>
      </c>
      <c r="H10" s="15" t="s">
        <v>71</v>
      </c>
      <c r="I10" s="15" t="s">
        <v>72</v>
      </c>
      <c r="J10" s="15" t="s">
        <v>73</v>
      </c>
      <c r="K10" s="15" t="s">
        <v>74</v>
      </c>
      <c r="L10" s="16">
        <v>0.9</v>
      </c>
      <c r="M10" s="16">
        <v>0.88</v>
      </c>
      <c r="N10" s="15" t="s">
        <v>75</v>
      </c>
      <c r="O10" s="13" t="s">
        <v>527</v>
      </c>
    </row>
    <row r="11" spans="1:15" ht="42" customHeight="1" x14ac:dyDescent="0.3">
      <c r="A11" s="10">
        <v>7</v>
      </c>
      <c r="B11" s="10">
        <v>7</v>
      </c>
      <c r="C11" s="11" t="s">
        <v>76</v>
      </c>
      <c r="D11" s="11" t="s">
        <v>77</v>
      </c>
      <c r="E11" s="11" t="s">
        <v>78</v>
      </c>
      <c r="F11" s="11" t="s">
        <v>79</v>
      </c>
      <c r="G11" s="11" t="s">
        <v>80</v>
      </c>
      <c r="H11" s="11" t="s">
        <v>81</v>
      </c>
      <c r="I11" s="11" t="s">
        <v>82</v>
      </c>
      <c r="J11" s="11" t="s">
        <v>83</v>
      </c>
      <c r="K11" s="11" t="s">
        <v>84</v>
      </c>
      <c r="L11" s="12">
        <v>0.89</v>
      </c>
      <c r="M11" s="12">
        <v>0.8</v>
      </c>
      <c r="N11" s="11" t="s">
        <v>85</v>
      </c>
      <c r="O11" s="13" t="s">
        <v>527</v>
      </c>
    </row>
    <row r="12" spans="1:15" ht="42" customHeight="1" x14ac:dyDescent="0.3">
      <c r="A12" s="14">
        <v>8</v>
      </c>
      <c r="B12" s="14">
        <v>8</v>
      </c>
      <c r="C12" s="15" t="s">
        <v>86</v>
      </c>
      <c r="D12" s="15" t="s">
        <v>87</v>
      </c>
      <c r="E12" s="15" t="s">
        <v>88</v>
      </c>
      <c r="F12" s="15" t="s">
        <v>89</v>
      </c>
      <c r="G12" s="15" t="s">
        <v>90</v>
      </c>
      <c r="H12" s="15" t="s">
        <v>91</v>
      </c>
      <c r="I12" s="15" t="s">
        <v>92</v>
      </c>
      <c r="J12" s="15" t="s">
        <v>93</v>
      </c>
      <c r="K12" s="15" t="s">
        <v>94</v>
      </c>
      <c r="L12" s="16">
        <v>0.96</v>
      </c>
      <c r="M12" s="16">
        <v>0.85</v>
      </c>
      <c r="N12" s="15" t="s">
        <v>95</v>
      </c>
      <c r="O12" s="13" t="s">
        <v>527</v>
      </c>
    </row>
    <row r="13" spans="1:15" ht="42" customHeight="1" x14ac:dyDescent="0.3">
      <c r="A13" s="10">
        <v>9</v>
      </c>
      <c r="B13" s="10">
        <v>9</v>
      </c>
      <c r="C13" s="11" t="s">
        <v>96</v>
      </c>
      <c r="D13" s="11" t="s">
        <v>97</v>
      </c>
      <c r="E13" s="11" t="s">
        <v>98</v>
      </c>
      <c r="F13" s="11" t="s">
        <v>99</v>
      </c>
      <c r="G13" s="11" t="s">
        <v>100</v>
      </c>
      <c r="H13" s="11" t="s">
        <v>101</v>
      </c>
      <c r="I13" s="11" t="s">
        <v>102</v>
      </c>
      <c r="J13" s="11" t="s">
        <v>103</v>
      </c>
      <c r="K13" s="11" t="s">
        <v>104</v>
      </c>
      <c r="L13" s="12">
        <v>0.79</v>
      </c>
      <c r="M13" s="12">
        <v>0.94</v>
      </c>
      <c r="N13" s="11" t="s">
        <v>105</v>
      </c>
      <c r="O13" s="13" t="s">
        <v>527</v>
      </c>
    </row>
    <row r="14" spans="1:15" ht="42" customHeight="1" x14ac:dyDescent="0.3">
      <c r="A14" s="14">
        <v>10</v>
      </c>
      <c r="B14" s="14">
        <v>1</v>
      </c>
      <c r="C14" s="15" t="s">
        <v>106</v>
      </c>
      <c r="D14" s="15" t="s">
        <v>17</v>
      </c>
      <c r="E14" s="15" t="s">
        <v>107</v>
      </c>
      <c r="F14" s="15" t="s">
        <v>108</v>
      </c>
      <c r="G14" s="15" t="s">
        <v>109</v>
      </c>
      <c r="H14" s="15" t="s">
        <v>21</v>
      </c>
      <c r="I14" s="15" t="s">
        <v>22</v>
      </c>
      <c r="J14" s="15" t="s">
        <v>23</v>
      </c>
      <c r="K14" s="15" t="s">
        <v>24</v>
      </c>
      <c r="L14" s="16">
        <v>0.85</v>
      </c>
      <c r="M14" s="16">
        <v>0.92</v>
      </c>
      <c r="N14" s="15" t="s">
        <v>25</v>
      </c>
      <c r="O14" s="13" t="s">
        <v>527</v>
      </c>
    </row>
    <row r="15" spans="1:15" ht="42" customHeight="1" x14ac:dyDescent="0.3">
      <c r="A15" s="10">
        <v>11</v>
      </c>
      <c r="B15" s="10">
        <v>2</v>
      </c>
      <c r="C15" s="11" t="s">
        <v>110</v>
      </c>
      <c r="D15" s="11" t="s">
        <v>111</v>
      </c>
      <c r="E15" s="11" t="s">
        <v>112</v>
      </c>
      <c r="F15" s="11" t="s">
        <v>113</v>
      </c>
      <c r="G15" s="11" t="s">
        <v>114</v>
      </c>
      <c r="H15" s="11" t="s">
        <v>31</v>
      </c>
      <c r="I15" s="11" t="s">
        <v>32</v>
      </c>
      <c r="J15" s="11" t="s">
        <v>33</v>
      </c>
      <c r="K15" s="11" t="s">
        <v>34</v>
      </c>
      <c r="L15" s="12">
        <v>0.91</v>
      </c>
      <c r="M15" s="12">
        <v>0.83</v>
      </c>
      <c r="N15" s="11" t="s">
        <v>35</v>
      </c>
      <c r="O15" s="13" t="s">
        <v>527</v>
      </c>
    </row>
    <row r="16" spans="1:15" ht="42" customHeight="1" x14ac:dyDescent="0.3">
      <c r="A16" s="14">
        <v>12</v>
      </c>
      <c r="B16" s="14">
        <v>3</v>
      </c>
      <c r="C16" s="15" t="s">
        <v>115</v>
      </c>
      <c r="D16" s="15" t="s">
        <v>37</v>
      </c>
      <c r="E16" s="15" t="s">
        <v>116</v>
      </c>
      <c r="F16" s="15" t="s">
        <v>117</v>
      </c>
      <c r="G16" s="15" t="s">
        <v>118</v>
      </c>
      <c r="H16" s="15" t="s">
        <v>41</v>
      </c>
      <c r="I16" s="15" t="s">
        <v>42</v>
      </c>
      <c r="J16" s="15" t="s">
        <v>43</v>
      </c>
      <c r="K16" s="15" t="s">
        <v>44</v>
      </c>
      <c r="L16" s="16">
        <v>0.82</v>
      </c>
      <c r="M16" s="16">
        <v>0.95</v>
      </c>
      <c r="N16" s="15" t="s">
        <v>45</v>
      </c>
      <c r="O16" s="13" t="s">
        <v>527</v>
      </c>
    </row>
    <row r="17" spans="1:15" ht="42" customHeight="1" x14ac:dyDescent="0.3">
      <c r="A17" s="10">
        <v>13</v>
      </c>
      <c r="B17" s="10">
        <v>4</v>
      </c>
      <c r="C17" s="11" t="s">
        <v>119</v>
      </c>
      <c r="D17" s="11" t="s">
        <v>120</v>
      </c>
      <c r="E17" s="11" t="s">
        <v>121</v>
      </c>
      <c r="F17" s="11" t="s">
        <v>122</v>
      </c>
      <c r="G17" s="11" t="s">
        <v>123</v>
      </c>
      <c r="H17" s="11" t="s">
        <v>51</v>
      </c>
      <c r="I17" s="11" t="s">
        <v>52</v>
      </c>
      <c r="J17" s="11" t="s">
        <v>53</v>
      </c>
      <c r="K17" s="11" t="s">
        <v>54</v>
      </c>
      <c r="L17" s="12">
        <v>0.94</v>
      </c>
      <c r="M17" s="12">
        <v>0.74</v>
      </c>
      <c r="N17" s="11" t="s">
        <v>55</v>
      </c>
      <c r="O17" s="13" t="s">
        <v>527</v>
      </c>
    </row>
    <row r="18" spans="1:15" ht="42" customHeight="1" x14ac:dyDescent="0.3">
      <c r="A18" s="14">
        <v>14</v>
      </c>
      <c r="B18" s="14">
        <v>5</v>
      </c>
      <c r="C18" s="15" t="s">
        <v>124</v>
      </c>
      <c r="D18" s="15" t="s">
        <v>125</v>
      </c>
      <c r="E18" s="15" t="s">
        <v>126</v>
      </c>
      <c r="F18" s="15" t="s">
        <v>127</v>
      </c>
      <c r="G18" s="15" t="s">
        <v>128</v>
      </c>
      <c r="H18" s="15" t="s">
        <v>61</v>
      </c>
      <c r="I18" s="15" t="s">
        <v>62</v>
      </c>
      <c r="J18" s="15" t="s">
        <v>63</v>
      </c>
      <c r="K18" s="15" t="s">
        <v>64</v>
      </c>
      <c r="L18" s="16">
        <v>0.75</v>
      </c>
      <c r="M18" s="16">
        <v>0.96</v>
      </c>
      <c r="N18" s="15" t="s">
        <v>65</v>
      </c>
      <c r="O18" s="13" t="s">
        <v>527</v>
      </c>
    </row>
    <row r="19" spans="1:15" ht="42" customHeight="1" x14ac:dyDescent="0.3">
      <c r="A19" s="10">
        <v>15</v>
      </c>
      <c r="B19" s="10">
        <v>6</v>
      </c>
      <c r="C19" s="11" t="s">
        <v>129</v>
      </c>
      <c r="D19" s="11" t="s">
        <v>67</v>
      </c>
      <c r="E19" s="11" t="s">
        <v>130</v>
      </c>
      <c r="F19" s="11" t="s">
        <v>131</v>
      </c>
      <c r="G19" s="11" t="s">
        <v>132</v>
      </c>
      <c r="H19" s="11" t="s">
        <v>71</v>
      </c>
      <c r="I19" s="11" t="s">
        <v>72</v>
      </c>
      <c r="J19" s="11" t="s">
        <v>73</v>
      </c>
      <c r="K19" s="11" t="s">
        <v>74</v>
      </c>
      <c r="L19" s="12">
        <v>0.9</v>
      </c>
      <c r="M19" s="12">
        <v>0.88</v>
      </c>
      <c r="N19" s="11" t="s">
        <v>75</v>
      </c>
      <c r="O19" s="13" t="s">
        <v>527</v>
      </c>
    </row>
    <row r="20" spans="1:15" ht="42" customHeight="1" x14ac:dyDescent="0.3">
      <c r="A20" s="14">
        <v>16</v>
      </c>
      <c r="B20" s="14">
        <v>7</v>
      </c>
      <c r="C20" s="15" t="s">
        <v>133</v>
      </c>
      <c r="D20" s="15" t="s">
        <v>134</v>
      </c>
      <c r="E20" s="15" t="s">
        <v>135</v>
      </c>
      <c r="F20" s="15" t="s">
        <v>136</v>
      </c>
      <c r="G20" s="15" t="s">
        <v>137</v>
      </c>
      <c r="H20" s="15" t="s">
        <v>81</v>
      </c>
      <c r="I20" s="15" t="s">
        <v>82</v>
      </c>
      <c r="J20" s="15" t="s">
        <v>83</v>
      </c>
      <c r="K20" s="15" t="s">
        <v>84</v>
      </c>
      <c r="L20" s="16">
        <v>0.89</v>
      </c>
      <c r="M20" s="16">
        <v>0.8</v>
      </c>
      <c r="N20" s="15" t="s">
        <v>85</v>
      </c>
      <c r="O20" s="13" t="s">
        <v>527</v>
      </c>
    </row>
    <row r="21" spans="1:15" ht="42" customHeight="1" x14ac:dyDescent="0.3">
      <c r="A21" s="10">
        <v>17</v>
      </c>
      <c r="B21" s="10">
        <v>8</v>
      </c>
      <c r="C21" s="11" t="s">
        <v>138</v>
      </c>
      <c r="D21" s="11" t="s">
        <v>87</v>
      </c>
      <c r="E21" s="11" t="s">
        <v>139</v>
      </c>
      <c r="F21" s="11" t="s">
        <v>140</v>
      </c>
      <c r="G21" s="11" t="s">
        <v>141</v>
      </c>
      <c r="H21" s="11" t="s">
        <v>91</v>
      </c>
      <c r="I21" s="11" t="s">
        <v>92</v>
      </c>
      <c r="J21" s="11" t="s">
        <v>93</v>
      </c>
      <c r="K21" s="11" t="s">
        <v>94</v>
      </c>
      <c r="L21" s="12">
        <v>0.96</v>
      </c>
      <c r="M21" s="12">
        <v>0.85</v>
      </c>
      <c r="N21" s="11" t="s">
        <v>95</v>
      </c>
      <c r="O21" s="13" t="s">
        <v>527</v>
      </c>
    </row>
    <row r="22" spans="1:15" ht="42" customHeight="1" x14ac:dyDescent="0.3">
      <c r="A22" s="14">
        <v>18</v>
      </c>
      <c r="B22" s="14">
        <v>9</v>
      </c>
      <c r="C22" s="15" t="s">
        <v>142</v>
      </c>
      <c r="D22" s="15" t="s">
        <v>97</v>
      </c>
      <c r="E22" s="15" t="s">
        <v>143</v>
      </c>
      <c r="F22" s="15" t="s">
        <v>144</v>
      </c>
      <c r="G22" s="15" t="s">
        <v>145</v>
      </c>
      <c r="H22" s="15" t="s">
        <v>101</v>
      </c>
      <c r="I22" s="15" t="s">
        <v>102</v>
      </c>
      <c r="J22" s="15" t="s">
        <v>103</v>
      </c>
      <c r="K22" s="15" t="s">
        <v>104</v>
      </c>
      <c r="L22" s="16">
        <v>0.79</v>
      </c>
      <c r="M22" s="16">
        <v>0.94</v>
      </c>
      <c r="N22" s="15" t="s">
        <v>105</v>
      </c>
      <c r="O22" s="13" t="s">
        <v>527</v>
      </c>
    </row>
    <row r="23" spans="1:15" ht="42" customHeight="1" x14ac:dyDescent="0.3">
      <c r="A23" s="10">
        <v>19</v>
      </c>
      <c r="B23" s="10">
        <v>1</v>
      </c>
      <c r="C23" s="11" t="s">
        <v>146</v>
      </c>
      <c r="D23" s="11" t="s">
        <v>147</v>
      </c>
      <c r="E23" s="11" t="s">
        <v>148</v>
      </c>
      <c r="F23" s="11" t="s">
        <v>149</v>
      </c>
      <c r="G23" s="11" t="s">
        <v>150</v>
      </c>
      <c r="H23" s="11" t="s">
        <v>21</v>
      </c>
      <c r="I23" s="11" t="s">
        <v>22</v>
      </c>
      <c r="J23" s="11" t="s">
        <v>23</v>
      </c>
      <c r="K23" s="11" t="s">
        <v>24</v>
      </c>
      <c r="L23" s="12">
        <v>0.85</v>
      </c>
      <c r="M23" s="12">
        <v>0.92</v>
      </c>
      <c r="N23" s="11" t="s">
        <v>25</v>
      </c>
      <c r="O23" s="13" t="s">
        <v>527</v>
      </c>
    </row>
    <row r="24" spans="1:15" ht="42" customHeight="1" x14ac:dyDescent="0.3">
      <c r="A24" s="14">
        <v>20</v>
      </c>
      <c r="B24" s="14">
        <v>2</v>
      </c>
      <c r="C24" s="15" t="s">
        <v>151</v>
      </c>
      <c r="D24" s="15" t="s">
        <v>27</v>
      </c>
      <c r="E24" s="15" t="s">
        <v>152</v>
      </c>
      <c r="F24" s="15" t="s">
        <v>153</v>
      </c>
      <c r="G24" s="15" t="s">
        <v>154</v>
      </c>
      <c r="H24" s="15" t="s">
        <v>31</v>
      </c>
      <c r="I24" s="15" t="s">
        <v>32</v>
      </c>
      <c r="J24" s="15" t="s">
        <v>33</v>
      </c>
      <c r="K24" s="15" t="s">
        <v>34</v>
      </c>
      <c r="L24" s="16">
        <v>0.88</v>
      </c>
      <c r="M24" s="16">
        <v>0.78</v>
      </c>
      <c r="N24" s="15" t="s">
        <v>35</v>
      </c>
      <c r="O24" s="13" t="s">
        <v>527</v>
      </c>
    </row>
    <row r="25" spans="1:15" ht="42" customHeight="1" x14ac:dyDescent="0.3">
      <c r="A25" s="10">
        <v>21</v>
      </c>
      <c r="B25" s="10">
        <v>3</v>
      </c>
      <c r="C25" s="11" t="s">
        <v>155</v>
      </c>
      <c r="D25" s="11" t="s">
        <v>37</v>
      </c>
      <c r="E25" s="11" t="s">
        <v>156</v>
      </c>
      <c r="F25" s="11" t="s">
        <v>157</v>
      </c>
      <c r="G25" s="11" t="s">
        <v>158</v>
      </c>
      <c r="H25" s="11" t="s">
        <v>41</v>
      </c>
      <c r="I25" s="11" t="s">
        <v>42</v>
      </c>
      <c r="J25" s="11" t="s">
        <v>43</v>
      </c>
      <c r="K25" s="11" t="s">
        <v>44</v>
      </c>
      <c r="L25" s="12">
        <v>0.82</v>
      </c>
      <c r="M25" s="12">
        <v>0.95</v>
      </c>
      <c r="N25" s="11" t="s">
        <v>45</v>
      </c>
      <c r="O25" s="13" t="s">
        <v>527</v>
      </c>
    </row>
    <row r="26" spans="1:15" ht="42" customHeight="1" x14ac:dyDescent="0.3">
      <c r="A26" s="14">
        <v>22</v>
      </c>
      <c r="B26" s="14">
        <v>4</v>
      </c>
      <c r="C26" s="15" t="s">
        <v>159</v>
      </c>
      <c r="D26" s="15" t="s">
        <v>160</v>
      </c>
      <c r="E26" s="15" t="s">
        <v>161</v>
      </c>
      <c r="F26" s="15" t="s">
        <v>162</v>
      </c>
      <c r="G26" s="15" t="s">
        <v>163</v>
      </c>
      <c r="H26" s="15" t="s">
        <v>51</v>
      </c>
      <c r="I26" s="15" t="s">
        <v>52</v>
      </c>
      <c r="J26" s="15" t="s">
        <v>53</v>
      </c>
      <c r="K26" s="15" t="s">
        <v>54</v>
      </c>
      <c r="L26" s="16">
        <v>0.97</v>
      </c>
      <c r="M26" s="16">
        <v>0.79</v>
      </c>
      <c r="N26" s="15" t="s">
        <v>55</v>
      </c>
      <c r="O26" s="13" t="s">
        <v>527</v>
      </c>
    </row>
    <row r="27" spans="1:15" ht="42" customHeight="1" x14ac:dyDescent="0.3">
      <c r="A27" s="10">
        <v>23</v>
      </c>
      <c r="B27" s="10">
        <v>5</v>
      </c>
      <c r="C27" s="11" t="s">
        <v>164</v>
      </c>
      <c r="D27" s="11" t="s">
        <v>57</v>
      </c>
      <c r="E27" s="11" t="s">
        <v>165</v>
      </c>
      <c r="F27" s="11" t="s">
        <v>166</v>
      </c>
      <c r="G27" s="11" t="s">
        <v>167</v>
      </c>
      <c r="H27" s="11" t="s">
        <v>61</v>
      </c>
      <c r="I27" s="11" t="s">
        <v>62</v>
      </c>
      <c r="J27" s="11" t="s">
        <v>63</v>
      </c>
      <c r="K27" s="11" t="s">
        <v>64</v>
      </c>
      <c r="L27" s="12">
        <v>0.75</v>
      </c>
      <c r="M27" s="12">
        <v>0.96</v>
      </c>
      <c r="N27" s="11" t="s">
        <v>65</v>
      </c>
      <c r="O27" s="13" t="s">
        <v>527</v>
      </c>
    </row>
    <row r="28" spans="1:15" ht="42" customHeight="1" x14ac:dyDescent="0.3">
      <c r="A28" s="14">
        <v>24</v>
      </c>
      <c r="B28" s="14">
        <v>6</v>
      </c>
      <c r="C28" s="15" t="s">
        <v>168</v>
      </c>
      <c r="D28" s="15" t="s">
        <v>67</v>
      </c>
      <c r="E28" s="15" t="s">
        <v>169</v>
      </c>
      <c r="F28" s="15" t="s">
        <v>170</v>
      </c>
      <c r="G28" s="15" t="s">
        <v>171</v>
      </c>
      <c r="H28" s="15" t="s">
        <v>71</v>
      </c>
      <c r="I28" s="15" t="s">
        <v>72</v>
      </c>
      <c r="J28" s="15" t="s">
        <v>73</v>
      </c>
      <c r="K28" s="15" t="s">
        <v>74</v>
      </c>
      <c r="L28" s="16">
        <v>0.9</v>
      </c>
      <c r="M28" s="16">
        <v>0.88</v>
      </c>
      <c r="N28" s="15" t="s">
        <v>75</v>
      </c>
      <c r="O28" s="13" t="s">
        <v>527</v>
      </c>
    </row>
    <row r="29" spans="1:15" ht="42" customHeight="1" x14ac:dyDescent="0.3">
      <c r="A29" s="10">
        <v>25</v>
      </c>
      <c r="B29" s="10">
        <v>7</v>
      </c>
      <c r="C29" s="11" t="s">
        <v>172</v>
      </c>
      <c r="D29" s="11" t="s">
        <v>77</v>
      </c>
      <c r="E29" s="11" t="s">
        <v>173</v>
      </c>
      <c r="F29" s="11" t="s">
        <v>174</v>
      </c>
      <c r="G29" s="11" t="s">
        <v>175</v>
      </c>
      <c r="H29" s="11" t="s">
        <v>81</v>
      </c>
      <c r="I29" s="11" t="s">
        <v>82</v>
      </c>
      <c r="J29" s="11" t="s">
        <v>83</v>
      </c>
      <c r="K29" s="11" t="s">
        <v>84</v>
      </c>
      <c r="L29" s="12">
        <v>0.89</v>
      </c>
      <c r="M29" s="12">
        <v>0.8</v>
      </c>
      <c r="N29" s="11" t="s">
        <v>85</v>
      </c>
      <c r="O29" s="13" t="s">
        <v>527</v>
      </c>
    </row>
    <row r="30" spans="1:15" ht="42" customHeight="1" x14ac:dyDescent="0.3">
      <c r="A30" s="14">
        <v>26</v>
      </c>
      <c r="B30" s="14">
        <v>8</v>
      </c>
      <c r="C30" s="15" t="s">
        <v>176</v>
      </c>
      <c r="D30" s="15" t="s">
        <v>87</v>
      </c>
      <c r="E30" s="15" t="s">
        <v>177</v>
      </c>
      <c r="F30" s="15" t="s">
        <v>178</v>
      </c>
      <c r="G30" s="15" t="s">
        <v>179</v>
      </c>
      <c r="H30" s="15" t="s">
        <v>91</v>
      </c>
      <c r="I30" s="15" t="s">
        <v>92</v>
      </c>
      <c r="J30" s="15" t="s">
        <v>93</v>
      </c>
      <c r="K30" s="15" t="s">
        <v>94</v>
      </c>
      <c r="L30" s="16">
        <v>0.96</v>
      </c>
      <c r="M30" s="16">
        <v>0.85</v>
      </c>
      <c r="N30" s="15" t="s">
        <v>95</v>
      </c>
      <c r="O30" s="13" t="s">
        <v>527</v>
      </c>
    </row>
    <row r="31" spans="1:15" ht="42" customHeight="1" x14ac:dyDescent="0.3">
      <c r="A31" s="10">
        <v>27</v>
      </c>
      <c r="B31" s="10">
        <v>9</v>
      </c>
      <c r="C31" s="11" t="s">
        <v>180</v>
      </c>
      <c r="D31" s="11" t="s">
        <v>97</v>
      </c>
      <c r="E31" s="11" t="s">
        <v>181</v>
      </c>
      <c r="F31" s="11" t="s">
        <v>182</v>
      </c>
      <c r="G31" s="11" t="s">
        <v>183</v>
      </c>
      <c r="H31" s="11" t="s">
        <v>101</v>
      </c>
      <c r="I31" s="11" t="s">
        <v>102</v>
      </c>
      <c r="J31" s="11" t="s">
        <v>103</v>
      </c>
      <c r="K31" s="11" t="s">
        <v>104</v>
      </c>
      <c r="L31" s="12">
        <v>0.79</v>
      </c>
      <c r="M31" s="12">
        <v>0.94</v>
      </c>
      <c r="N31" s="11" t="s">
        <v>105</v>
      </c>
      <c r="O31" s="13" t="s">
        <v>527</v>
      </c>
    </row>
    <row r="32" spans="1:15" ht="42" customHeight="1" x14ac:dyDescent="0.3">
      <c r="A32" s="14">
        <v>28</v>
      </c>
      <c r="B32" s="14">
        <v>1</v>
      </c>
      <c r="C32" s="15" t="s">
        <v>184</v>
      </c>
      <c r="D32" s="15" t="s">
        <v>17</v>
      </c>
      <c r="E32" s="15" t="s">
        <v>185</v>
      </c>
      <c r="F32" s="15" t="s">
        <v>186</v>
      </c>
      <c r="G32" s="15" t="s">
        <v>187</v>
      </c>
      <c r="H32" s="15" t="s">
        <v>21</v>
      </c>
      <c r="I32" s="15" t="s">
        <v>22</v>
      </c>
      <c r="J32" s="15" t="s">
        <v>23</v>
      </c>
      <c r="K32" s="15" t="s">
        <v>24</v>
      </c>
      <c r="L32" s="16">
        <v>0.85</v>
      </c>
      <c r="M32" s="16">
        <v>0.92</v>
      </c>
      <c r="N32" s="15" t="s">
        <v>25</v>
      </c>
      <c r="O32" s="13" t="s">
        <v>527</v>
      </c>
    </row>
    <row r="33" spans="1:15" ht="42" customHeight="1" x14ac:dyDescent="0.3">
      <c r="A33" s="10">
        <v>29</v>
      </c>
      <c r="B33" s="10">
        <v>2</v>
      </c>
      <c r="C33" s="11" t="s">
        <v>188</v>
      </c>
      <c r="D33" s="11" t="s">
        <v>27</v>
      </c>
      <c r="E33" s="11" t="s">
        <v>189</v>
      </c>
      <c r="F33" s="11" t="s">
        <v>190</v>
      </c>
      <c r="G33" s="11" t="s">
        <v>191</v>
      </c>
      <c r="H33" s="11" t="s">
        <v>31</v>
      </c>
      <c r="I33" s="11" t="s">
        <v>32</v>
      </c>
      <c r="J33" s="11" t="s">
        <v>33</v>
      </c>
      <c r="K33" s="11" t="s">
        <v>34</v>
      </c>
      <c r="L33" s="12">
        <v>0.88</v>
      </c>
      <c r="M33" s="12">
        <v>0.78</v>
      </c>
      <c r="N33" s="11" t="s">
        <v>35</v>
      </c>
      <c r="O33" s="13" t="s">
        <v>527</v>
      </c>
    </row>
    <row r="34" spans="1:15" ht="42" customHeight="1" x14ac:dyDescent="0.3">
      <c r="A34" s="14">
        <v>30</v>
      </c>
      <c r="B34" s="14">
        <v>3</v>
      </c>
      <c r="C34" s="15" t="s">
        <v>192</v>
      </c>
      <c r="D34" s="15" t="s">
        <v>37</v>
      </c>
      <c r="E34" s="15" t="s">
        <v>193</v>
      </c>
      <c r="F34" s="15" t="s">
        <v>194</v>
      </c>
      <c r="G34" s="15" t="s">
        <v>195</v>
      </c>
      <c r="H34" s="15" t="s">
        <v>41</v>
      </c>
      <c r="I34" s="15" t="s">
        <v>42</v>
      </c>
      <c r="J34" s="15" t="s">
        <v>43</v>
      </c>
      <c r="K34" s="15" t="s">
        <v>44</v>
      </c>
      <c r="L34" s="16">
        <v>0.82</v>
      </c>
      <c r="M34" s="16">
        <v>0.95</v>
      </c>
      <c r="N34" s="15" t="s">
        <v>45</v>
      </c>
      <c r="O34" s="13" t="s">
        <v>527</v>
      </c>
    </row>
    <row r="35" spans="1:15" ht="42" customHeight="1" x14ac:dyDescent="0.3">
      <c r="A35" s="10">
        <v>31</v>
      </c>
      <c r="B35" s="10">
        <v>4</v>
      </c>
      <c r="C35" s="11" t="s">
        <v>196</v>
      </c>
      <c r="D35" s="11" t="s">
        <v>47</v>
      </c>
      <c r="E35" s="11" t="s">
        <v>197</v>
      </c>
      <c r="F35" s="11" t="s">
        <v>198</v>
      </c>
      <c r="G35" s="11" t="s">
        <v>199</v>
      </c>
      <c r="H35" s="11" t="s">
        <v>51</v>
      </c>
      <c r="I35" s="11" t="s">
        <v>52</v>
      </c>
      <c r="J35" s="11" t="s">
        <v>53</v>
      </c>
      <c r="K35" s="11" t="s">
        <v>54</v>
      </c>
      <c r="L35" s="12">
        <v>0.94</v>
      </c>
      <c r="M35" s="12">
        <v>0.74</v>
      </c>
      <c r="N35" s="11" t="s">
        <v>55</v>
      </c>
      <c r="O35" s="13" t="s">
        <v>527</v>
      </c>
    </row>
    <row r="36" spans="1:15" ht="42" customHeight="1" x14ac:dyDescent="0.3">
      <c r="A36" s="14">
        <v>32</v>
      </c>
      <c r="B36" s="14">
        <v>5</v>
      </c>
      <c r="C36" s="15" t="s">
        <v>200</v>
      </c>
      <c r="D36" s="15" t="s">
        <v>57</v>
      </c>
      <c r="E36" s="15" t="s">
        <v>201</v>
      </c>
      <c r="F36" s="15" t="s">
        <v>202</v>
      </c>
      <c r="G36" s="15" t="s">
        <v>203</v>
      </c>
      <c r="H36" s="15" t="s">
        <v>61</v>
      </c>
      <c r="I36" s="15" t="s">
        <v>62</v>
      </c>
      <c r="J36" s="15" t="s">
        <v>63</v>
      </c>
      <c r="K36" s="15" t="s">
        <v>64</v>
      </c>
      <c r="L36" s="16">
        <v>0.75</v>
      </c>
      <c r="M36" s="16">
        <v>0.96</v>
      </c>
      <c r="N36" s="15" t="s">
        <v>65</v>
      </c>
      <c r="O36" s="13" t="s">
        <v>527</v>
      </c>
    </row>
    <row r="37" spans="1:15" ht="42" customHeight="1" x14ac:dyDescent="0.3">
      <c r="A37" s="10">
        <v>33</v>
      </c>
      <c r="B37" s="10">
        <v>6</v>
      </c>
      <c r="C37" s="11" t="s">
        <v>204</v>
      </c>
      <c r="D37" s="11" t="s">
        <v>205</v>
      </c>
      <c r="E37" s="11" t="s">
        <v>206</v>
      </c>
      <c r="F37" s="11" t="s">
        <v>207</v>
      </c>
      <c r="G37" s="11" t="s">
        <v>208</v>
      </c>
      <c r="H37" s="11" t="s">
        <v>71</v>
      </c>
      <c r="I37" s="11" t="s">
        <v>72</v>
      </c>
      <c r="J37" s="11" t="s">
        <v>73</v>
      </c>
      <c r="K37" s="11" t="s">
        <v>74</v>
      </c>
      <c r="L37" s="12">
        <v>0.93</v>
      </c>
      <c r="M37" s="12">
        <v>0.93</v>
      </c>
      <c r="N37" s="11" t="s">
        <v>75</v>
      </c>
      <c r="O37" s="13" t="s">
        <v>527</v>
      </c>
    </row>
    <row r="38" spans="1:15" ht="42" customHeight="1" x14ac:dyDescent="0.3">
      <c r="A38" s="14">
        <v>34</v>
      </c>
      <c r="B38" s="14">
        <v>7</v>
      </c>
      <c r="C38" s="15" t="s">
        <v>209</v>
      </c>
      <c r="D38" s="15" t="s">
        <v>77</v>
      </c>
      <c r="E38" s="15" t="s">
        <v>210</v>
      </c>
      <c r="F38" s="15" t="s">
        <v>211</v>
      </c>
      <c r="G38" s="15" t="s">
        <v>212</v>
      </c>
      <c r="H38" s="15" t="s">
        <v>81</v>
      </c>
      <c r="I38" s="15" t="s">
        <v>82</v>
      </c>
      <c r="J38" s="15" t="s">
        <v>83</v>
      </c>
      <c r="K38" s="15" t="s">
        <v>84</v>
      </c>
      <c r="L38" s="16">
        <v>0.89</v>
      </c>
      <c r="M38" s="16">
        <v>0.8</v>
      </c>
      <c r="N38" s="15" t="s">
        <v>85</v>
      </c>
      <c r="O38" s="13" t="s">
        <v>527</v>
      </c>
    </row>
    <row r="39" spans="1:15" ht="42" customHeight="1" x14ac:dyDescent="0.3">
      <c r="A39" s="10">
        <v>35</v>
      </c>
      <c r="B39" s="10">
        <v>8</v>
      </c>
      <c r="C39" s="11" t="s">
        <v>213</v>
      </c>
      <c r="D39" s="11" t="s">
        <v>87</v>
      </c>
      <c r="E39" s="11" t="s">
        <v>214</v>
      </c>
      <c r="F39" s="11" t="s">
        <v>215</v>
      </c>
      <c r="G39" s="11" t="s">
        <v>216</v>
      </c>
      <c r="H39" s="11" t="s">
        <v>91</v>
      </c>
      <c r="I39" s="11" t="s">
        <v>92</v>
      </c>
      <c r="J39" s="11" t="s">
        <v>93</v>
      </c>
      <c r="K39" s="11" t="s">
        <v>94</v>
      </c>
      <c r="L39" s="12">
        <v>0.96</v>
      </c>
      <c r="M39" s="12">
        <v>0.85</v>
      </c>
      <c r="N39" s="11" t="s">
        <v>95</v>
      </c>
      <c r="O39" s="13" t="s">
        <v>527</v>
      </c>
    </row>
    <row r="40" spans="1:15" ht="42" customHeight="1" x14ac:dyDescent="0.3">
      <c r="A40" s="14">
        <v>36</v>
      </c>
      <c r="B40" s="14">
        <v>9</v>
      </c>
      <c r="C40" s="15" t="s">
        <v>217</v>
      </c>
      <c r="D40" s="15" t="s">
        <v>97</v>
      </c>
      <c r="E40" s="15" t="s">
        <v>218</v>
      </c>
      <c r="F40" s="15" t="s">
        <v>219</v>
      </c>
      <c r="G40" s="15" t="s">
        <v>220</v>
      </c>
      <c r="H40" s="15" t="s">
        <v>101</v>
      </c>
      <c r="I40" s="15" t="s">
        <v>102</v>
      </c>
      <c r="J40" s="15" t="s">
        <v>103</v>
      </c>
      <c r="K40" s="15" t="s">
        <v>104</v>
      </c>
      <c r="L40" s="16">
        <v>0.79</v>
      </c>
      <c r="M40" s="16">
        <v>0.94</v>
      </c>
      <c r="N40" s="15" t="s">
        <v>105</v>
      </c>
      <c r="O40" s="13" t="s">
        <v>527</v>
      </c>
    </row>
    <row r="41" spans="1:15" ht="42" customHeight="1" x14ac:dyDescent="0.3">
      <c r="A41" s="10">
        <v>37</v>
      </c>
      <c r="B41" s="10">
        <v>1</v>
      </c>
      <c r="C41" s="11" t="s">
        <v>221</v>
      </c>
      <c r="D41" s="11" t="s">
        <v>17</v>
      </c>
      <c r="E41" s="11" t="s">
        <v>222</v>
      </c>
      <c r="F41" s="11" t="s">
        <v>223</v>
      </c>
      <c r="G41" s="11" t="s">
        <v>224</v>
      </c>
      <c r="H41" s="11" t="s">
        <v>21</v>
      </c>
      <c r="I41" s="11" t="s">
        <v>22</v>
      </c>
      <c r="J41" s="11" t="s">
        <v>23</v>
      </c>
      <c r="K41" s="11" t="s">
        <v>24</v>
      </c>
      <c r="L41" s="12">
        <v>0.85</v>
      </c>
      <c r="M41" s="12">
        <v>0.92</v>
      </c>
      <c r="N41" s="11" t="s">
        <v>25</v>
      </c>
      <c r="O41" s="13" t="s">
        <v>527</v>
      </c>
    </row>
    <row r="42" spans="1:15" ht="42" customHeight="1" x14ac:dyDescent="0.3">
      <c r="A42" s="14">
        <v>38</v>
      </c>
      <c r="B42" s="14">
        <v>2</v>
      </c>
      <c r="C42" s="15" t="s">
        <v>225</v>
      </c>
      <c r="D42" s="15" t="s">
        <v>27</v>
      </c>
      <c r="E42" s="15" t="s">
        <v>226</v>
      </c>
      <c r="F42" s="15" t="s">
        <v>227</v>
      </c>
      <c r="G42" s="15" t="s">
        <v>228</v>
      </c>
      <c r="H42" s="15" t="s">
        <v>31</v>
      </c>
      <c r="I42" s="15" t="s">
        <v>32</v>
      </c>
      <c r="J42" s="15" t="s">
        <v>33</v>
      </c>
      <c r="K42" s="15" t="s">
        <v>34</v>
      </c>
      <c r="L42" s="16">
        <v>0.88</v>
      </c>
      <c r="M42" s="16">
        <v>0.78</v>
      </c>
      <c r="N42" s="15" t="s">
        <v>35</v>
      </c>
      <c r="O42" s="13" t="s">
        <v>527</v>
      </c>
    </row>
    <row r="43" spans="1:15" ht="42" customHeight="1" x14ac:dyDescent="0.3">
      <c r="A43" s="10">
        <v>39</v>
      </c>
      <c r="B43" s="10">
        <v>3</v>
      </c>
      <c r="C43" s="11" t="s">
        <v>229</v>
      </c>
      <c r="D43" s="11" t="s">
        <v>37</v>
      </c>
      <c r="E43" s="11" t="s">
        <v>230</v>
      </c>
      <c r="F43" s="11" t="s">
        <v>231</v>
      </c>
      <c r="G43" s="11" t="s">
        <v>232</v>
      </c>
      <c r="H43" s="11" t="s">
        <v>41</v>
      </c>
      <c r="I43" s="11" t="s">
        <v>42</v>
      </c>
      <c r="J43" s="11" t="s">
        <v>43</v>
      </c>
      <c r="K43" s="11" t="s">
        <v>44</v>
      </c>
      <c r="L43" s="12">
        <v>0.82</v>
      </c>
      <c r="M43" s="12">
        <v>0.95</v>
      </c>
      <c r="N43" s="11" t="s">
        <v>45</v>
      </c>
      <c r="O43" s="13" t="s">
        <v>527</v>
      </c>
    </row>
    <row r="44" spans="1:15" ht="42" customHeight="1" x14ac:dyDescent="0.3">
      <c r="A44" s="14">
        <v>40</v>
      </c>
      <c r="B44" s="14">
        <v>4</v>
      </c>
      <c r="C44" s="15" t="s">
        <v>233</v>
      </c>
      <c r="D44" s="15" t="s">
        <v>47</v>
      </c>
      <c r="E44" s="15" t="s">
        <v>234</v>
      </c>
      <c r="F44" s="15" t="s">
        <v>235</v>
      </c>
      <c r="G44" s="15" t="s">
        <v>236</v>
      </c>
      <c r="H44" s="15" t="s">
        <v>51</v>
      </c>
      <c r="I44" s="15" t="s">
        <v>52</v>
      </c>
      <c r="J44" s="15" t="s">
        <v>53</v>
      </c>
      <c r="K44" s="15" t="s">
        <v>54</v>
      </c>
      <c r="L44" s="16">
        <v>0.94</v>
      </c>
      <c r="M44" s="16">
        <v>0.74</v>
      </c>
      <c r="N44" s="15" t="s">
        <v>55</v>
      </c>
      <c r="O44" s="13" t="s">
        <v>527</v>
      </c>
    </row>
    <row r="45" spans="1:15" ht="42" customHeight="1" x14ac:dyDescent="0.3">
      <c r="A45" s="10">
        <v>41</v>
      </c>
      <c r="B45" s="10">
        <v>5</v>
      </c>
      <c r="C45" s="11" t="s">
        <v>237</v>
      </c>
      <c r="D45" s="11" t="s">
        <v>57</v>
      </c>
      <c r="E45" s="11" t="s">
        <v>238</v>
      </c>
      <c r="F45" s="11" t="s">
        <v>239</v>
      </c>
      <c r="G45" s="11" t="s">
        <v>240</v>
      </c>
      <c r="H45" s="11" t="s">
        <v>61</v>
      </c>
      <c r="I45" s="11" t="s">
        <v>62</v>
      </c>
      <c r="J45" s="11" t="s">
        <v>63</v>
      </c>
      <c r="K45" s="11" t="s">
        <v>64</v>
      </c>
      <c r="L45" s="12">
        <v>0.75</v>
      </c>
      <c r="M45" s="12">
        <v>0.96</v>
      </c>
      <c r="N45" s="11" t="s">
        <v>65</v>
      </c>
      <c r="O45" s="13" t="s">
        <v>527</v>
      </c>
    </row>
    <row r="46" spans="1:15" ht="42" customHeight="1" x14ac:dyDescent="0.3">
      <c r="A46" s="14">
        <v>42</v>
      </c>
      <c r="B46" s="14">
        <v>6</v>
      </c>
      <c r="C46" s="15" t="s">
        <v>241</v>
      </c>
      <c r="D46" s="15" t="s">
        <v>67</v>
      </c>
      <c r="E46" s="15" t="s">
        <v>242</v>
      </c>
      <c r="F46" s="15" t="s">
        <v>243</v>
      </c>
      <c r="G46" s="15" t="s">
        <v>244</v>
      </c>
      <c r="H46" s="15" t="s">
        <v>71</v>
      </c>
      <c r="I46" s="15" t="s">
        <v>72</v>
      </c>
      <c r="J46" s="15" t="s">
        <v>73</v>
      </c>
      <c r="K46" s="15" t="s">
        <v>74</v>
      </c>
      <c r="L46" s="16">
        <v>0.9</v>
      </c>
      <c r="M46" s="16">
        <v>0.88</v>
      </c>
      <c r="N46" s="15" t="s">
        <v>75</v>
      </c>
      <c r="O46" s="13" t="s">
        <v>527</v>
      </c>
    </row>
    <row r="47" spans="1:15" ht="42" customHeight="1" x14ac:dyDescent="0.3">
      <c r="A47" s="10">
        <v>43</v>
      </c>
      <c r="B47" s="10">
        <v>7</v>
      </c>
      <c r="C47" s="11" t="s">
        <v>245</v>
      </c>
      <c r="D47" s="11" t="s">
        <v>77</v>
      </c>
      <c r="E47" s="11" t="s">
        <v>246</v>
      </c>
      <c r="F47" s="11" t="s">
        <v>247</v>
      </c>
      <c r="G47" s="11" t="s">
        <v>248</v>
      </c>
      <c r="H47" s="11" t="s">
        <v>81</v>
      </c>
      <c r="I47" s="11" t="s">
        <v>82</v>
      </c>
      <c r="J47" s="11" t="s">
        <v>83</v>
      </c>
      <c r="K47" s="11" t="s">
        <v>84</v>
      </c>
      <c r="L47" s="12">
        <v>0.89</v>
      </c>
      <c r="M47" s="12">
        <v>0.8</v>
      </c>
      <c r="N47" s="11" t="s">
        <v>85</v>
      </c>
      <c r="O47" s="13" t="s">
        <v>527</v>
      </c>
    </row>
    <row r="48" spans="1:15" ht="42" customHeight="1" x14ac:dyDescent="0.3">
      <c r="A48" s="14">
        <v>44</v>
      </c>
      <c r="B48" s="14">
        <v>8</v>
      </c>
      <c r="C48" s="15" t="s">
        <v>249</v>
      </c>
      <c r="D48" s="15" t="s">
        <v>87</v>
      </c>
      <c r="E48" s="15" t="s">
        <v>250</v>
      </c>
      <c r="F48" s="15" t="s">
        <v>251</v>
      </c>
      <c r="G48" s="15" t="s">
        <v>252</v>
      </c>
      <c r="H48" s="15" t="s">
        <v>91</v>
      </c>
      <c r="I48" s="15" t="s">
        <v>92</v>
      </c>
      <c r="J48" s="15" t="s">
        <v>93</v>
      </c>
      <c r="K48" s="15" t="s">
        <v>94</v>
      </c>
      <c r="L48" s="16">
        <v>0.96</v>
      </c>
      <c r="M48" s="16">
        <v>0.85</v>
      </c>
      <c r="N48" s="15" t="s">
        <v>95</v>
      </c>
      <c r="O48" s="13" t="s">
        <v>527</v>
      </c>
    </row>
    <row r="49" spans="1:15" ht="42" customHeight="1" x14ac:dyDescent="0.3">
      <c r="A49" s="10">
        <v>45</v>
      </c>
      <c r="B49" s="10">
        <v>9</v>
      </c>
      <c r="C49" s="11" t="s">
        <v>253</v>
      </c>
      <c r="D49" s="11" t="s">
        <v>97</v>
      </c>
      <c r="E49" s="11" t="s">
        <v>254</v>
      </c>
      <c r="F49" s="11" t="s">
        <v>255</v>
      </c>
      <c r="G49" s="11" t="s">
        <v>256</v>
      </c>
      <c r="H49" s="11" t="s">
        <v>101</v>
      </c>
      <c r="I49" s="11" t="s">
        <v>102</v>
      </c>
      <c r="J49" s="11" t="s">
        <v>103</v>
      </c>
      <c r="K49" s="11" t="s">
        <v>104</v>
      </c>
      <c r="L49" s="12">
        <v>0.79</v>
      </c>
      <c r="M49" s="12">
        <v>0.94</v>
      </c>
      <c r="N49" s="11" t="s">
        <v>105</v>
      </c>
      <c r="O49" s="13" t="s">
        <v>527</v>
      </c>
    </row>
    <row r="50" spans="1:15" ht="42" customHeight="1" x14ac:dyDescent="0.3">
      <c r="A50" s="14">
        <v>46</v>
      </c>
      <c r="B50" s="14">
        <v>1</v>
      </c>
      <c r="C50" s="15" t="s">
        <v>257</v>
      </c>
      <c r="D50" s="15" t="s">
        <v>17</v>
      </c>
      <c r="E50" s="15" t="s">
        <v>258</v>
      </c>
      <c r="F50" s="15" t="s">
        <v>259</v>
      </c>
      <c r="G50" s="15" t="s">
        <v>260</v>
      </c>
      <c r="H50" s="15" t="s">
        <v>21</v>
      </c>
      <c r="I50" s="15" t="s">
        <v>22</v>
      </c>
      <c r="J50" s="15" t="s">
        <v>23</v>
      </c>
      <c r="K50" s="15" t="s">
        <v>24</v>
      </c>
      <c r="L50" s="16">
        <v>0.85</v>
      </c>
      <c r="M50" s="16">
        <v>0.92</v>
      </c>
      <c r="N50" s="15" t="s">
        <v>25</v>
      </c>
      <c r="O50" s="13" t="s">
        <v>527</v>
      </c>
    </row>
    <row r="51" spans="1:15" ht="42" customHeight="1" x14ac:dyDescent="0.3">
      <c r="A51" s="10">
        <v>47</v>
      </c>
      <c r="B51" s="10">
        <v>2</v>
      </c>
      <c r="C51" s="11" t="s">
        <v>261</v>
      </c>
      <c r="D51" s="11" t="s">
        <v>27</v>
      </c>
      <c r="E51" s="11" t="s">
        <v>262</v>
      </c>
      <c r="F51" s="11" t="s">
        <v>263</v>
      </c>
      <c r="G51" s="11" t="s">
        <v>264</v>
      </c>
      <c r="H51" s="11" t="s">
        <v>31</v>
      </c>
      <c r="I51" s="11" t="s">
        <v>32</v>
      </c>
      <c r="J51" s="11" t="s">
        <v>33</v>
      </c>
      <c r="K51" s="11" t="s">
        <v>34</v>
      </c>
      <c r="L51" s="12">
        <v>0.88</v>
      </c>
      <c r="M51" s="12">
        <v>0.78</v>
      </c>
      <c r="N51" s="11" t="s">
        <v>35</v>
      </c>
      <c r="O51" s="13" t="s">
        <v>527</v>
      </c>
    </row>
    <row r="52" spans="1:15" ht="42" customHeight="1" x14ac:dyDescent="0.3">
      <c r="A52" s="14">
        <v>48</v>
      </c>
      <c r="B52" s="14">
        <v>3</v>
      </c>
      <c r="C52" s="15" t="s">
        <v>265</v>
      </c>
      <c r="D52" s="15" t="s">
        <v>37</v>
      </c>
      <c r="E52" s="15" t="s">
        <v>266</v>
      </c>
      <c r="F52" s="15" t="s">
        <v>267</v>
      </c>
      <c r="G52" s="15" t="s">
        <v>268</v>
      </c>
      <c r="H52" s="15" t="s">
        <v>41</v>
      </c>
      <c r="I52" s="15" t="s">
        <v>42</v>
      </c>
      <c r="J52" s="15" t="s">
        <v>43</v>
      </c>
      <c r="K52" s="15" t="s">
        <v>44</v>
      </c>
      <c r="L52" s="16">
        <v>0.82</v>
      </c>
      <c r="M52" s="16">
        <v>0.95</v>
      </c>
      <c r="N52" s="15" t="s">
        <v>45</v>
      </c>
      <c r="O52" s="13" t="s">
        <v>527</v>
      </c>
    </row>
    <row r="53" spans="1:15" ht="42" customHeight="1" x14ac:dyDescent="0.3">
      <c r="A53" s="10">
        <v>49</v>
      </c>
      <c r="B53" s="10">
        <v>4</v>
      </c>
      <c r="C53" s="11" t="s">
        <v>269</v>
      </c>
      <c r="D53" s="11" t="s">
        <v>47</v>
      </c>
      <c r="E53" s="11" t="s">
        <v>270</v>
      </c>
      <c r="F53" s="11" t="s">
        <v>271</v>
      </c>
      <c r="G53" s="11" t="s">
        <v>272</v>
      </c>
      <c r="H53" s="11" t="s">
        <v>51</v>
      </c>
      <c r="I53" s="11" t="s">
        <v>52</v>
      </c>
      <c r="J53" s="11" t="s">
        <v>53</v>
      </c>
      <c r="K53" s="11" t="s">
        <v>54</v>
      </c>
      <c r="L53" s="12">
        <v>0.94</v>
      </c>
      <c r="M53" s="12">
        <v>0.74</v>
      </c>
      <c r="N53" s="11" t="s">
        <v>55</v>
      </c>
      <c r="O53" s="13" t="s">
        <v>527</v>
      </c>
    </row>
    <row r="54" spans="1:15" ht="42" customHeight="1" x14ac:dyDescent="0.3">
      <c r="A54" s="14">
        <v>50</v>
      </c>
      <c r="B54" s="14">
        <v>5</v>
      </c>
      <c r="C54" s="15" t="s">
        <v>273</v>
      </c>
      <c r="D54" s="15" t="s">
        <v>57</v>
      </c>
      <c r="E54" s="15" t="s">
        <v>274</v>
      </c>
      <c r="F54" s="15" t="s">
        <v>275</v>
      </c>
      <c r="G54" s="15" t="s">
        <v>276</v>
      </c>
      <c r="H54" s="15" t="s">
        <v>61</v>
      </c>
      <c r="I54" s="15" t="s">
        <v>62</v>
      </c>
      <c r="J54" s="15" t="s">
        <v>63</v>
      </c>
      <c r="K54" s="15" t="s">
        <v>64</v>
      </c>
      <c r="L54" s="16">
        <v>0.75</v>
      </c>
      <c r="M54" s="16">
        <v>0.96</v>
      </c>
      <c r="N54" s="15" t="s">
        <v>65</v>
      </c>
      <c r="O54" s="13" t="s">
        <v>527</v>
      </c>
    </row>
    <row r="55" spans="1:15" ht="42" customHeight="1" x14ac:dyDescent="0.3">
      <c r="A55" s="10">
        <v>51</v>
      </c>
      <c r="B55" s="10">
        <v>6</v>
      </c>
      <c r="C55" s="11" t="s">
        <v>277</v>
      </c>
      <c r="D55" s="11" t="s">
        <v>67</v>
      </c>
      <c r="E55" s="11" t="s">
        <v>278</v>
      </c>
      <c r="F55" s="11" t="s">
        <v>279</v>
      </c>
      <c r="G55" s="11" t="s">
        <v>280</v>
      </c>
      <c r="H55" s="11" t="s">
        <v>71</v>
      </c>
      <c r="I55" s="11" t="s">
        <v>72</v>
      </c>
      <c r="J55" s="11" t="s">
        <v>73</v>
      </c>
      <c r="K55" s="11" t="s">
        <v>74</v>
      </c>
      <c r="L55" s="12">
        <v>0.9</v>
      </c>
      <c r="M55" s="12">
        <v>0.88</v>
      </c>
      <c r="N55" s="11" t="s">
        <v>75</v>
      </c>
      <c r="O55" s="13" t="s">
        <v>527</v>
      </c>
    </row>
    <row r="56" spans="1:15" ht="42" customHeight="1" x14ac:dyDescent="0.3">
      <c r="A56" s="14">
        <v>52</v>
      </c>
      <c r="B56" s="14">
        <v>7</v>
      </c>
      <c r="C56" s="15" t="s">
        <v>281</v>
      </c>
      <c r="D56" s="15" t="s">
        <v>77</v>
      </c>
      <c r="E56" s="15" t="s">
        <v>282</v>
      </c>
      <c r="F56" s="15" t="s">
        <v>283</v>
      </c>
      <c r="G56" s="15" t="s">
        <v>284</v>
      </c>
      <c r="H56" s="15" t="s">
        <v>81</v>
      </c>
      <c r="I56" s="15" t="s">
        <v>82</v>
      </c>
      <c r="J56" s="15" t="s">
        <v>83</v>
      </c>
      <c r="K56" s="15" t="s">
        <v>84</v>
      </c>
      <c r="L56" s="16">
        <v>0.89</v>
      </c>
      <c r="M56" s="16">
        <v>0.8</v>
      </c>
      <c r="N56" s="15" t="s">
        <v>85</v>
      </c>
      <c r="O56" s="13" t="s">
        <v>527</v>
      </c>
    </row>
    <row r="57" spans="1:15" ht="42" customHeight="1" x14ac:dyDescent="0.3">
      <c r="A57" s="10">
        <v>53</v>
      </c>
      <c r="B57" s="10">
        <v>8</v>
      </c>
      <c r="C57" s="11" t="s">
        <v>285</v>
      </c>
      <c r="D57" s="11" t="s">
        <v>87</v>
      </c>
      <c r="E57" s="11" t="s">
        <v>286</v>
      </c>
      <c r="F57" s="11" t="s">
        <v>287</v>
      </c>
      <c r="G57" s="11" t="s">
        <v>288</v>
      </c>
      <c r="H57" s="11" t="s">
        <v>91</v>
      </c>
      <c r="I57" s="11" t="s">
        <v>92</v>
      </c>
      <c r="J57" s="11" t="s">
        <v>93</v>
      </c>
      <c r="K57" s="11" t="s">
        <v>94</v>
      </c>
      <c r="L57" s="12">
        <v>0.96</v>
      </c>
      <c r="M57" s="12">
        <v>0.85</v>
      </c>
      <c r="N57" s="11" t="s">
        <v>95</v>
      </c>
      <c r="O57" s="13" t="s">
        <v>527</v>
      </c>
    </row>
    <row r="58" spans="1:15" ht="42" customHeight="1" x14ac:dyDescent="0.3">
      <c r="A58" s="14">
        <v>54</v>
      </c>
      <c r="B58" s="14">
        <v>9</v>
      </c>
      <c r="C58" s="15" t="s">
        <v>289</v>
      </c>
      <c r="D58" s="15" t="s">
        <v>97</v>
      </c>
      <c r="E58" s="15" t="s">
        <v>290</v>
      </c>
      <c r="F58" s="15" t="s">
        <v>291</v>
      </c>
      <c r="G58" s="15" t="s">
        <v>292</v>
      </c>
      <c r="H58" s="15" t="s">
        <v>101</v>
      </c>
      <c r="I58" s="15" t="s">
        <v>102</v>
      </c>
      <c r="J58" s="15" t="s">
        <v>103</v>
      </c>
      <c r="K58" s="15" t="s">
        <v>104</v>
      </c>
      <c r="L58" s="16">
        <v>0.79</v>
      </c>
      <c r="M58" s="16">
        <v>0.94</v>
      </c>
      <c r="N58" s="15" t="s">
        <v>105</v>
      </c>
      <c r="O58" s="13" t="s">
        <v>527</v>
      </c>
    </row>
    <row r="59" spans="1:15" ht="42" customHeight="1" x14ac:dyDescent="0.3">
      <c r="A59" s="10">
        <v>55</v>
      </c>
      <c r="B59" s="10">
        <v>1</v>
      </c>
      <c r="C59" s="11" t="s">
        <v>293</v>
      </c>
      <c r="D59" s="11" t="s">
        <v>17</v>
      </c>
      <c r="E59" s="11" t="s">
        <v>294</v>
      </c>
      <c r="F59" s="11" t="s">
        <v>295</v>
      </c>
      <c r="G59" s="11" t="s">
        <v>296</v>
      </c>
      <c r="H59" s="11" t="s">
        <v>21</v>
      </c>
      <c r="I59" s="11" t="s">
        <v>22</v>
      </c>
      <c r="J59" s="11" t="s">
        <v>23</v>
      </c>
      <c r="K59" s="11" t="s">
        <v>24</v>
      </c>
      <c r="L59" s="12">
        <v>0.85</v>
      </c>
      <c r="M59" s="12">
        <v>0.92</v>
      </c>
      <c r="N59" s="11" t="s">
        <v>25</v>
      </c>
      <c r="O59" s="13" t="s">
        <v>527</v>
      </c>
    </row>
    <row r="60" spans="1:15" ht="42" customHeight="1" x14ac:dyDescent="0.3">
      <c r="A60" s="14">
        <v>56</v>
      </c>
      <c r="B60" s="14">
        <v>2</v>
      </c>
      <c r="C60" s="15" t="s">
        <v>297</v>
      </c>
      <c r="D60" s="15" t="s">
        <v>27</v>
      </c>
      <c r="E60" s="15" t="s">
        <v>298</v>
      </c>
      <c r="F60" s="15" t="s">
        <v>299</v>
      </c>
      <c r="G60" s="15" t="s">
        <v>300</v>
      </c>
      <c r="H60" s="15" t="s">
        <v>31</v>
      </c>
      <c r="I60" s="15" t="s">
        <v>32</v>
      </c>
      <c r="J60" s="15" t="s">
        <v>33</v>
      </c>
      <c r="K60" s="15" t="s">
        <v>34</v>
      </c>
      <c r="L60" s="16">
        <v>0.88</v>
      </c>
      <c r="M60" s="16">
        <v>0.78</v>
      </c>
      <c r="N60" s="15" t="s">
        <v>35</v>
      </c>
      <c r="O60" s="13" t="s">
        <v>527</v>
      </c>
    </row>
    <row r="61" spans="1:15" ht="42" customHeight="1" x14ac:dyDescent="0.3">
      <c r="A61" s="10">
        <v>57</v>
      </c>
      <c r="B61" s="10">
        <v>3</v>
      </c>
      <c r="C61" s="11" t="s">
        <v>301</v>
      </c>
      <c r="D61" s="11" t="s">
        <v>37</v>
      </c>
      <c r="E61" s="11" t="s">
        <v>302</v>
      </c>
      <c r="F61" s="11" t="s">
        <v>303</v>
      </c>
      <c r="G61" s="11" t="s">
        <v>304</v>
      </c>
      <c r="H61" s="11" t="s">
        <v>41</v>
      </c>
      <c r="I61" s="11" t="s">
        <v>42</v>
      </c>
      <c r="J61" s="11" t="s">
        <v>43</v>
      </c>
      <c r="K61" s="11" t="s">
        <v>44</v>
      </c>
      <c r="L61" s="12">
        <v>0.82</v>
      </c>
      <c r="M61" s="12">
        <v>0.95</v>
      </c>
      <c r="N61" s="11" t="s">
        <v>45</v>
      </c>
      <c r="O61" s="13" t="s">
        <v>527</v>
      </c>
    </row>
    <row r="62" spans="1:15" ht="42" customHeight="1" x14ac:dyDescent="0.3">
      <c r="A62" s="14">
        <v>58</v>
      </c>
      <c r="B62" s="14">
        <v>4</v>
      </c>
      <c r="C62" s="15" t="s">
        <v>305</v>
      </c>
      <c r="D62" s="15" t="s">
        <v>47</v>
      </c>
      <c r="E62" s="15" t="s">
        <v>306</v>
      </c>
      <c r="F62" s="15" t="s">
        <v>307</v>
      </c>
      <c r="G62" s="15" t="s">
        <v>308</v>
      </c>
      <c r="H62" s="15" t="s">
        <v>51</v>
      </c>
      <c r="I62" s="15" t="s">
        <v>52</v>
      </c>
      <c r="J62" s="15" t="s">
        <v>53</v>
      </c>
      <c r="K62" s="15" t="s">
        <v>54</v>
      </c>
      <c r="L62" s="16">
        <v>0.94</v>
      </c>
      <c r="M62" s="16">
        <v>0.74</v>
      </c>
      <c r="N62" s="15" t="s">
        <v>55</v>
      </c>
      <c r="O62" s="13" t="s">
        <v>527</v>
      </c>
    </row>
    <row r="63" spans="1:15" ht="42" customHeight="1" x14ac:dyDescent="0.3">
      <c r="A63" s="10">
        <v>59</v>
      </c>
      <c r="B63" s="10">
        <v>5</v>
      </c>
      <c r="C63" s="11" t="s">
        <v>309</v>
      </c>
      <c r="D63" s="11" t="s">
        <v>57</v>
      </c>
      <c r="E63" s="11" t="s">
        <v>310</v>
      </c>
      <c r="F63" s="11" t="s">
        <v>311</v>
      </c>
      <c r="G63" s="11" t="s">
        <v>312</v>
      </c>
      <c r="H63" s="11" t="s">
        <v>61</v>
      </c>
      <c r="I63" s="11" t="s">
        <v>62</v>
      </c>
      <c r="J63" s="11" t="s">
        <v>63</v>
      </c>
      <c r="K63" s="11" t="s">
        <v>64</v>
      </c>
      <c r="L63" s="12">
        <v>0.75</v>
      </c>
      <c r="M63" s="12">
        <v>0.96</v>
      </c>
      <c r="N63" s="11" t="s">
        <v>65</v>
      </c>
      <c r="O63" s="13" t="s">
        <v>527</v>
      </c>
    </row>
    <row r="64" spans="1:15" ht="42" customHeight="1" x14ac:dyDescent="0.3">
      <c r="A64" s="14">
        <v>60</v>
      </c>
      <c r="B64" s="14">
        <v>6</v>
      </c>
      <c r="C64" s="15" t="s">
        <v>313</v>
      </c>
      <c r="D64" s="15" t="s">
        <v>67</v>
      </c>
      <c r="E64" s="15" t="s">
        <v>314</v>
      </c>
      <c r="F64" s="15" t="s">
        <v>315</v>
      </c>
      <c r="G64" s="15" t="s">
        <v>316</v>
      </c>
      <c r="H64" s="15" t="s">
        <v>71</v>
      </c>
      <c r="I64" s="15" t="s">
        <v>72</v>
      </c>
      <c r="J64" s="15" t="s">
        <v>73</v>
      </c>
      <c r="K64" s="15" t="s">
        <v>74</v>
      </c>
      <c r="L64" s="16">
        <v>0.9</v>
      </c>
      <c r="M64" s="16">
        <v>0.88</v>
      </c>
      <c r="N64" s="15" t="s">
        <v>75</v>
      </c>
      <c r="O64" s="13" t="s">
        <v>527</v>
      </c>
    </row>
    <row r="65" spans="1:15" ht="42" customHeight="1" x14ac:dyDescent="0.3">
      <c r="A65" s="10">
        <v>61</v>
      </c>
      <c r="B65" s="10">
        <v>7</v>
      </c>
      <c r="C65" s="11" t="s">
        <v>317</v>
      </c>
      <c r="D65" s="11" t="s">
        <v>77</v>
      </c>
      <c r="E65" s="11" t="s">
        <v>318</v>
      </c>
      <c r="F65" s="11" t="s">
        <v>319</v>
      </c>
      <c r="G65" s="11" t="s">
        <v>320</v>
      </c>
      <c r="H65" s="11" t="s">
        <v>81</v>
      </c>
      <c r="I65" s="11" t="s">
        <v>82</v>
      </c>
      <c r="J65" s="11" t="s">
        <v>83</v>
      </c>
      <c r="K65" s="11" t="s">
        <v>84</v>
      </c>
      <c r="L65" s="12">
        <v>0.89</v>
      </c>
      <c r="M65" s="12">
        <v>0.8</v>
      </c>
      <c r="N65" s="11" t="s">
        <v>85</v>
      </c>
      <c r="O65" s="13" t="s">
        <v>527</v>
      </c>
    </row>
    <row r="66" spans="1:15" ht="42" customHeight="1" x14ac:dyDescent="0.3">
      <c r="A66" s="14">
        <v>62</v>
      </c>
      <c r="B66" s="14">
        <v>8</v>
      </c>
      <c r="C66" s="15" t="s">
        <v>321</v>
      </c>
      <c r="D66" s="15" t="s">
        <v>87</v>
      </c>
      <c r="E66" s="15" t="s">
        <v>322</v>
      </c>
      <c r="F66" s="15" t="s">
        <v>323</v>
      </c>
      <c r="G66" s="15" t="s">
        <v>324</v>
      </c>
      <c r="H66" s="15" t="s">
        <v>91</v>
      </c>
      <c r="I66" s="15" t="s">
        <v>92</v>
      </c>
      <c r="J66" s="15" t="s">
        <v>93</v>
      </c>
      <c r="K66" s="15" t="s">
        <v>94</v>
      </c>
      <c r="L66" s="16">
        <v>0.96</v>
      </c>
      <c r="M66" s="16">
        <v>0.85</v>
      </c>
      <c r="N66" s="15" t="s">
        <v>95</v>
      </c>
      <c r="O66" s="13" t="s">
        <v>527</v>
      </c>
    </row>
    <row r="67" spans="1:15" ht="42" customHeight="1" x14ac:dyDescent="0.3">
      <c r="A67" s="10">
        <v>63</v>
      </c>
      <c r="B67" s="10">
        <v>9</v>
      </c>
      <c r="C67" s="11" t="s">
        <v>325</v>
      </c>
      <c r="D67" s="11" t="s">
        <v>97</v>
      </c>
      <c r="E67" s="11" t="s">
        <v>326</v>
      </c>
      <c r="F67" s="11" t="s">
        <v>327</v>
      </c>
      <c r="G67" s="11" t="s">
        <v>328</v>
      </c>
      <c r="H67" s="11" t="s">
        <v>101</v>
      </c>
      <c r="I67" s="11" t="s">
        <v>102</v>
      </c>
      <c r="J67" s="11" t="s">
        <v>103</v>
      </c>
      <c r="K67" s="11" t="s">
        <v>104</v>
      </c>
      <c r="L67" s="12">
        <v>0.79</v>
      </c>
      <c r="M67" s="12">
        <v>0.94</v>
      </c>
      <c r="N67" s="11" t="s">
        <v>105</v>
      </c>
      <c r="O67" s="13" t="s">
        <v>527</v>
      </c>
    </row>
    <row r="68" spans="1:15" ht="42" customHeight="1" x14ac:dyDescent="0.3">
      <c r="A68" s="14">
        <v>64</v>
      </c>
      <c r="B68" s="14">
        <v>1</v>
      </c>
      <c r="C68" s="15" t="s">
        <v>329</v>
      </c>
      <c r="D68" s="15" t="s">
        <v>17</v>
      </c>
      <c r="E68" s="15" t="s">
        <v>330</v>
      </c>
      <c r="F68" s="15" t="s">
        <v>331</v>
      </c>
      <c r="G68" s="15" t="s">
        <v>332</v>
      </c>
      <c r="H68" s="15" t="s">
        <v>21</v>
      </c>
      <c r="I68" s="15" t="s">
        <v>22</v>
      </c>
      <c r="J68" s="15" t="s">
        <v>23</v>
      </c>
      <c r="K68" s="15" t="s">
        <v>24</v>
      </c>
      <c r="L68" s="16">
        <v>0.85</v>
      </c>
      <c r="M68" s="16">
        <v>0.92</v>
      </c>
      <c r="N68" s="15" t="s">
        <v>25</v>
      </c>
      <c r="O68" s="13" t="s">
        <v>527</v>
      </c>
    </row>
    <row r="69" spans="1:15" ht="42" customHeight="1" x14ac:dyDescent="0.3">
      <c r="A69" s="10">
        <v>65</v>
      </c>
      <c r="B69" s="10">
        <v>2</v>
      </c>
      <c r="C69" s="11" t="s">
        <v>333</v>
      </c>
      <c r="D69" s="11" t="s">
        <v>27</v>
      </c>
      <c r="E69" s="11" t="s">
        <v>334</v>
      </c>
      <c r="F69" s="11" t="s">
        <v>335</v>
      </c>
      <c r="G69" s="11" t="s">
        <v>336</v>
      </c>
      <c r="H69" s="11" t="s">
        <v>31</v>
      </c>
      <c r="I69" s="11" t="s">
        <v>32</v>
      </c>
      <c r="J69" s="11" t="s">
        <v>33</v>
      </c>
      <c r="K69" s="11" t="s">
        <v>34</v>
      </c>
      <c r="L69" s="12">
        <v>0.88</v>
      </c>
      <c r="M69" s="12">
        <v>0.78</v>
      </c>
      <c r="N69" s="11" t="s">
        <v>35</v>
      </c>
      <c r="O69" s="13" t="s">
        <v>527</v>
      </c>
    </row>
    <row r="70" spans="1:15" ht="42" customHeight="1" x14ac:dyDescent="0.3">
      <c r="A70" s="14">
        <v>66</v>
      </c>
      <c r="B70" s="14">
        <v>3</v>
      </c>
      <c r="C70" s="15" t="s">
        <v>337</v>
      </c>
      <c r="D70" s="15" t="s">
        <v>37</v>
      </c>
      <c r="E70" s="15" t="s">
        <v>338</v>
      </c>
      <c r="F70" s="15" t="s">
        <v>339</v>
      </c>
      <c r="G70" s="15" t="s">
        <v>340</v>
      </c>
      <c r="H70" s="15" t="s">
        <v>41</v>
      </c>
      <c r="I70" s="15" t="s">
        <v>42</v>
      </c>
      <c r="J70" s="15" t="s">
        <v>43</v>
      </c>
      <c r="K70" s="15" t="s">
        <v>44</v>
      </c>
      <c r="L70" s="16">
        <v>0.82</v>
      </c>
      <c r="M70" s="16">
        <v>0.95</v>
      </c>
      <c r="N70" s="15" t="s">
        <v>45</v>
      </c>
      <c r="O70" s="13" t="s">
        <v>527</v>
      </c>
    </row>
    <row r="71" spans="1:15" ht="42" customHeight="1" x14ac:dyDescent="0.3">
      <c r="A71" s="10">
        <v>67</v>
      </c>
      <c r="B71" s="10">
        <v>4</v>
      </c>
      <c r="C71" s="11" t="s">
        <v>341</v>
      </c>
      <c r="D71" s="11" t="s">
        <v>47</v>
      </c>
      <c r="E71" s="11" t="s">
        <v>342</v>
      </c>
      <c r="F71" s="11" t="s">
        <v>343</v>
      </c>
      <c r="G71" s="11" t="s">
        <v>344</v>
      </c>
      <c r="H71" s="11" t="s">
        <v>51</v>
      </c>
      <c r="I71" s="11" t="s">
        <v>52</v>
      </c>
      <c r="J71" s="11" t="s">
        <v>53</v>
      </c>
      <c r="K71" s="11" t="s">
        <v>54</v>
      </c>
      <c r="L71" s="12">
        <v>0.94</v>
      </c>
      <c r="M71" s="12">
        <v>0.74</v>
      </c>
      <c r="N71" s="11" t="s">
        <v>55</v>
      </c>
      <c r="O71" s="13" t="s">
        <v>527</v>
      </c>
    </row>
    <row r="72" spans="1:15" ht="42" customHeight="1" x14ac:dyDescent="0.3">
      <c r="A72" s="14">
        <v>68</v>
      </c>
      <c r="B72" s="14">
        <v>5</v>
      </c>
      <c r="C72" s="15" t="s">
        <v>345</v>
      </c>
      <c r="D72" s="15" t="s">
        <v>57</v>
      </c>
      <c r="E72" s="15" t="s">
        <v>346</v>
      </c>
      <c r="F72" s="15" t="s">
        <v>347</v>
      </c>
      <c r="G72" s="15" t="s">
        <v>348</v>
      </c>
      <c r="H72" s="15" t="s">
        <v>61</v>
      </c>
      <c r="I72" s="15" t="s">
        <v>62</v>
      </c>
      <c r="J72" s="15" t="s">
        <v>63</v>
      </c>
      <c r="K72" s="15" t="s">
        <v>64</v>
      </c>
      <c r="L72" s="16">
        <v>0.75</v>
      </c>
      <c r="M72" s="16">
        <v>0.96</v>
      </c>
      <c r="N72" s="15" t="s">
        <v>65</v>
      </c>
      <c r="O72" s="13" t="s">
        <v>527</v>
      </c>
    </row>
    <row r="73" spans="1:15" ht="42" customHeight="1" x14ac:dyDescent="0.3">
      <c r="A73" s="10">
        <v>69</v>
      </c>
      <c r="B73" s="10">
        <v>6</v>
      </c>
      <c r="C73" s="11" t="s">
        <v>349</v>
      </c>
      <c r="D73" s="11" t="s">
        <v>67</v>
      </c>
      <c r="E73" s="11" t="s">
        <v>350</v>
      </c>
      <c r="F73" s="11" t="s">
        <v>351</v>
      </c>
      <c r="G73" s="11" t="s">
        <v>352</v>
      </c>
      <c r="H73" s="11" t="s">
        <v>71</v>
      </c>
      <c r="I73" s="11" t="s">
        <v>72</v>
      </c>
      <c r="J73" s="11" t="s">
        <v>73</v>
      </c>
      <c r="K73" s="11" t="s">
        <v>74</v>
      </c>
      <c r="L73" s="12">
        <v>0.9</v>
      </c>
      <c r="M73" s="12">
        <v>0.88</v>
      </c>
      <c r="N73" s="11" t="s">
        <v>75</v>
      </c>
      <c r="O73" s="13" t="s">
        <v>527</v>
      </c>
    </row>
    <row r="74" spans="1:15" ht="42" customHeight="1" x14ac:dyDescent="0.3">
      <c r="A74" s="14">
        <v>70</v>
      </c>
      <c r="B74" s="14">
        <v>7</v>
      </c>
      <c r="C74" s="15" t="s">
        <v>353</v>
      </c>
      <c r="D74" s="15" t="s">
        <v>77</v>
      </c>
      <c r="E74" s="15" t="s">
        <v>354</v>
      </c>
      <c r="F74" s="15" t="s">
        <v>355</v>
      </c>
      <c r="G74" s="15" t="s">
        <v>356</v>
      </c>
      <c r="H74" s="15" t="s">
        <v>81</v>
      </c>
      <c r="I74" s="15" t="s">
        <v>82</v>
      </c>
      <c r="J74" s="15" t="s">
        <v>83</v>
      </c>
      <c r="K74" s="15" t="s">
        <v>84</v>
      </c>
      <c r="L74" s="16">
        <v>0.89</v>
      </c>
      <c r="M74" s="16">
        <v>0.8</v>
      </c>
      <c r="N74" s="15" t="s">
        <v>85</v>
      </c>
      <c r="O74" s="13" t="s">
        <v>527</v>
      </c>
    </row>
    <row r="75" spans="1:15" ht="42" customHeight="1" x14ac:dyDescent="0.3">
      <c r="A75" s="10">
        <v>71</v>
      </c>
      <c r="B75" s="10">
        <v>8</v>
      </c>
      <c r="C75" s="11" t="s">
        <v>357</v>
      </c>
      <c r="D75" s="11" t="s">
        <v>87</v>
      </c>
      <c r="E75" s="11" t="s">
        <v>358</v>
      </c>
      <c r="F75" s="11" t="s">
        <v>359</v>
      </c>
      <c r="G75" s="11" t="s">
        <v>360</v>
      </c>
      <c r="H75" s="11" t="s">
        <v>91</v>
      </c>
      <c r="I75" s="11" t="s">
        <v>92</v>
      </c>
      <c r="J75" s="11" t="s">
        <v>93</v>
      </c>
      <c r="K75" s="11" t="s">
        <v>94</v>
      </c>
      <c r="L75" s="12">
        <v>0.96</v>
      </c>
      <c r="M75" s="12">
        <v>0.85</v>
      </c>
      <c r="N75" s="11" t="s">
        <v>95</v>
      </c>
      <c r="O75" s="13" t="s">
        <v>527</v>
      </c>
    </row>
    <row r="76" spans="1:15" ht="42" customHeight="1" x14ac:dyDescent="0.3">
      <c r="A76" s="14">
        <v>72</v>
      </c>
      <c r="B76" s="14">
        <v>9</v>
      </c>
      <c r="C76" s="15" t="s">
        <v>361</v>
      </c>
      <c r="D76" s="15" t="s">
        <v>97</v>
      </c>
      <c r="E76" s="15" t="s">
        <v>362</v>
      </c>
      <c r="F76" s="15" t="s">
        <v>363</v>
      </c>
      <c r="G76" s="15" t="s">
        <v>364</v>
      </c>
      <c r="H76" s="15" t="s">
        <v>101</v>
      </c>
      <c r="I76" s="15" t="s">
        <v>102</v>
      </c>
      <c r="J76" s="15" t="s">
        <v>103</v>
      </c>
      <c r="K76" s="15" t="s">
        <v>104</v>
      </c>
      <c r="L76" s="16">
        <v>0.79</v>
      </c>
      <c r="M76" s="16">
        <v>0.94</v>
      </c>
      <c r="N76" s="15" t="s">
        <v>105</v>
      </c>
      <c r="O76" s="13" t="s">
        <v>527</v>
      </c>
    </row>
    <row r="77" spans="1:15" ht="42" customHeight="1" x14ac:dyDescent="0.3">
      <c r="A77" s="10">
        <v>73</v>
      </c>
      <c r="B77" s="10">
        <v>1</v>
      </c>
      <c r="C77" s="11" t="s">
        <v>365</v>
      </c>
      <c r="D77" s="11" t="s">
        <v>17</v>
      </c>
      <c r="E77" s="11" t="s">
        <v>366</v>
      </c>
      <c r="F77" s="11" t="s">
        <v>367</v>
      </c>
      <c r="G77" s="11" t="s">
        <v>368</v>
      </c>
      <c r="H77" s="11" t="s">
        <v>21</v>
      </c>
      <c r="I77" s="11" t="s">
        <v>22</v>
      </c>
      <c r="J77" s="11" t="s">
        <v>23</v>
      </c>
      <c r="K77" s="11" t="s">
        <v>24</v>
      </c>
      <c r="L77" s="12">
        <v>0.85</v>
      </c>
      <c r="M77" s="12">
        <v>0.92</v>
      </c>
      <c r="N77" s="11" t="s">
        <v>25</v>
      </c>
      <c r="O77" s="13" t="s">
        <v>527</v>
      </c>
    </row>
    <row r="78" spans="1:15" ht="42" customHeight="1" x14ac:dyDescent="0.3">
      <c r="A78" s="14">
        <v>74</v>
      </c>
      <c r="B78" s="14">
        <v>2</v>
      </c>
      <c r="C78" s="15" t="s">
        <v>369</v>
      </c>
      <c r="D78" s="15" t="s">
        <v>27</v>
      </c>
      <c r="E78" s="15" t="s">
        <v>370</v>
      </c>
      <c r="F78" s="15" t="s">
        <v>371</v>
      </c>
      <c r="G78" s="15" t="s">
        <v>372</v>
      </c>
      <c r="H78" s="15" t="s">
        <v>31</v>
      </c>
      <c r="I78" s="15" t="s">
        <v>32</v>
      </c>
      <c r="J78" s="15" t="s">
        <v>33</v>
      </c>
      <c r="K78" s="15" t="s">
        <v>34</v>
      </c>
      <c r="L78" s="16">
        <v>0.88</v>
      </c>
      <c r="M78" s="16">
        <v>0.78</v>
      </c>
      <c r="N78" s="15" t="s">
        <v>35</v>
      </c>
      <c r="O78" s="13" t="s">
        <v>527</v>
      </c>
    </row>
    <row r="79" spans="1:15" ht="42" customHeight="1" x14ac:dyDescent="0.3">
      <c r="A79" s="10">
        <v>75</v>
      </c>
      <c r="B79" s="10">
        <v>3</v>
      </c>
      <c r="C79" s="11" t="s">
        <v>373</v>
      </c>
      <c r="D79" s="11" t="s">
        <v>37</v>
      </c>
      <c r="E79" s="11" t="s">
        <v>374</v>
      </c>
      <c r="F79" s="11" t="s">
        <v>375</v>
      </c>
      <c r="G79" s="11" t="s">
        <v>376</v>
      </c>
      <c r="H79" s="11" t="s">
        <v>41</v>
      </c>
      <c r="I79" s="11" t="s">
        <v>42</v>
      </c>
      <c r="J79" s="11" t="s">
        <v>43</v>
      </c>
      <c r="K79" s="11" t="s">
        <v>44</v>
      </c>
      <c r="L79" s="12">
        <v>0.82</v>
      </c>
      <c r="M79" s="12">
        <v>0.95</v>
      </c>
      <c r="N79" s="11" t="s">
        <v>45</v>
      </c>
      <c r="O79" s="13" t="s">
        <v>527</v>
      </c>
    </row>
    <row r="80" spans="1:15" ht="42" customHeight="1" x14ac:dyDescent="0.3">
      <c r="A80" s="14">
        <v>76</v>
      </c>
      <c r="B80" s="14">
        <v>4</v>
      </c>
      <c r="C80" s="15" t="s">
        <v>377</v>
      </c>
      <c r="D80" s="15" t="s">
        <v>47</v>
      </c>
      <c r="E80" s="15" t="s">
        <v>378</v>
      </c>
      <c r="F80" s="15" t="s">
        <v>379</v>
      </c>
      <c r="G80" s="15" t="s">
        <v>380</v>
      </c>
      <c r="H80" s="15" t="s">
        <v>51</v>
      </c>
      <c r="I80" s="15" t="s">
        <v>52</v>
      </c>
      <c r="J80" s="15" t="s">
        <v>53</v>
      </c>
      <c r="K80" s="15" t="s">
        <v>54</v>
      </c>
      <c r="L80" s="16">
        <v>0.94</v>
      </c>
      <c r="M80" s="16">
        <v>0.74</v>
      </c>
      <c r="N80" s="15" t="s">
        <v>55</v>
      </c>
      <c r="O80" s="13" t="s">
        <v>527</v>
      </c>
    </row>
    <row r="81" spans="1:15" ht="42" customHeight="1" x14ac:dyDescent="0.3">
      <c r="A81" s="10">
        <v>77</v>
      </c>
      <c r="B81" s="10">
        <v>5</v>
      </c>
      <c r="C81" s="11" t="s">
        <v>381</v>
      </c>
      <c r="D81" s="11" t="s">
        <v>57</v>
      </c>
      <c r="E81" s="11" t="s">
        <v>382</v>
      </c>
      <c r="F81" s="11" t="s">
        <v>383</v>
      </c>
      <c r="G81" s="11" t="s">
        <v>384</v>
      </c>
      <c r="H81" s="11" t="s">
        <v>61</v>
      </c>
      <c r="I81" s="11" t="s">
        <v>62</v>
      </c>
      <c r="J81" s="11" t="s">
        <v>63</v>
      </c>
      <c r="K81" s="11" t="s">
        <v>64</v>
      </c>
      <c r="L81" s="12">
        <v>0.75</v>
      </c>
      <c r="M81" s="12">
        <v>0.96</v>
      </c>
      <c r="N81" s="11" t="s">
        <v>65</v>
      </c>
      <c r="O81" s="13" t="s">
        <v>527</v>
      </c>
    </row>
    <row r="82" spans="1:15" ht="42" customHeight="1" x14ac:dyDescent="0.3">
      <c r="A82" s="14">
        <v>78</v>
      </c>
      <c r="B82" s="14">
        <v>6</v>
      </c>
      <c r="C82" s="15" t="s">
        <v>385</v>
      </c>
      <c r="D82" s="15" t="s">
        <v>67</v>
      </c>
      <c r="E82" s="15" t="s">
        <v>386</v>
      </c>
      <c r="F82" s="15" t="s">
        <v>387</v>
      </c>
      <c r="G82" s="15" t="s">
        <v>388</v>
      </c>
      <c r="H82" s="15" t="s">
        <v>71</v>
      </c>
      <c r="I82" s="15" t="s">
        <v>72</v>
      </c>
      <c r="J82" s="15" t="s">
        <v>73</v>
      </c>
      <c r="K82" s="15" t="s">
        <v>74</v>
      </c>
      <c r="L82" s="16">
        <v>0.9</v>
      </c>
      <c r="M82" s="16">
        <v>0.88</v>
      </c>
      <c r="N82" s="15" t="s">
        <v>75</v>
      </c>
      <c r="O82" s="13" t="s">
        <v>527</v>
      </c>
    </row>
    <row r="83" spans="1:15" ht="42" customHeight="1" x14ac:dyDescent="0.3">
      <c r="A83" s="10">
        <v>79</v>
      </c>
      <c r="B83" s="10">
        <v>7</v>
      </c>
      <c r="C83" s="11" t="s">
        <v>389</v>
      </c>
      <c r="D83" s="11" t="s">
        <v>77</v>
      </c>
      <c r="E83" s="11" t="s">
        <v>390</v>
      </c>
      <c r="F83" s="11" t="s">
        <v>391</v>
      </c>
      <c r="G83" s="11" t="s">
        <v>392</v>
      </c>
      <c r="H83" s="11" t="s">
        <v>81</v>
      </c>
      <c r="I83" s="11" t="s">
        <v>82</v>
      </c>
      <c r="J83" s="11" t="s">
        <v>83</v>
      </c>
      <c r="K83" s="11" t="s">
        <v>84</v>
      </c>
      <c r="L83" s="12">
        <v>0.89</v>
      </c>
      <c r="M83" s="12">
        <v>0.8</v>
      </c>
      <c r="N83" s="11" t="s">
        <v>85</v>
      </c>
      <c r="O83" s="13" t="s">
        <v>527</v>
      </c>
    </row>
    <row r="84" spans="1:15" ht="42" customHeight="1" x14ac:dyDescent="0.3">
      <c r="A84" s="14">
        <v>80</v>
      </c>
      <c r="B84" s="14">
        <v>8</v>
      </c>
      <c r="C84" s="15" t="s">
        <v>393</v>
      </c>
      <c r="D84" s="15" t="s">
        <v>87</v>
      </c>
      <c r="E84" s="15" t="s">
        <v>394</v>
      </c>
      <c r="F84" s="15" t="s">
        <v>395</v>
      </c>
      <c r="G84" s="15" t="s">
        <v>396</v>
      </c>
      <c r="H84" s="15" t="s">
        <v>91</v>
      </c>
      <c r="I84" s="15" t="s">
        <v>92</v>
      </c>
      <c r="J84" s="15" t="s">
        <v>93</v>
      </c>
      <c r="K84" s="15" t="s">
        <v>94</v>
      </c>
      <c r="L84" s="16">
        <v>0.96</v>
      </c>
      <c r="M84" s="16">
        <v>0.85</v>
      </c>
      <c r="N84" s="15" t="s">
        <v>95</v>
      </c>
      <c r="O84" s="13" t="s">
        <v>527</v>
      </c>
    </row>
    <row r="85" spans="1:15" ht="42" customHeight="1" x14ac:dyDescent="0.3">
      <c r="A85" s="10">
        <v>81</v>
      </c>
      <c r="B85" s="10">
        <v>9</v>
      </c>
      <c r="C85" s="11" t="s">
        <v>397</v>
      </c>
      <c r="D85" s="11" t="s">
        <v>97</v>
      </c>
      <c r="E85" s="11" t="s">
        <v>398</v>
      </c>
      <c r="F85" s="11" t="s">
        <v>399</v>
      </c>
      <c r="G85" s="11" t="s">
        <v>400</v>
      </c>
      <c r="H85" s="11" t="s">
        <v>101</v>
      </c>
      <c r="I85" s="11" t="s">
        <v>102</v>
      </c>
      <c r="J85" s="11" t="s">
        <v>103</v>
      </c>
      <c r="K85" s="11" t="s">
        <v>104</v>
      </c>
      <c r="L85" s="12">
        <v>0.79</v>
      </c>
      <c r="M85" s="12">
        <v>0.94</v>
      </c>
      <c r="N85" s="11" t="s">
        <v>105</v>
      </c>
      <c r="O85" s="13" t="s">
        <v>527</v>
      </c>
    </row>
    <row r="86" spans="1:15" ht="42" customHeight="1" x14ac:dyDescent="0.3">
      <c r="A86" s="14">
        <v>82</v>
      </c>
      <c r="B86" s="14">
        <v>1</v>
      </c>
      <c r="C86" s="15" t="s">
        <v>401</v>
      </c>
      <c r="D86" s="15" t="s">
        <v>17</v>
      </c>
      <c r="E86" s="15" t="s">
        <v>402</v>
      </c>
      <c r="F86" s="15" t="s">
        <v>403</v>
      </c>
      <c r="G86" s="15" t="s">
        <v>404</v>
      </c>
      <c r="H86" s="15" t="s">
        <v>21</v>
      </c>
      <c r="I86" s="15" t="s">
        <v>22</v>
      </c>
      <c r="J86" s="15" t="s">
        <v>23</v>
      </c>
      <c r="K86" s="15" t="s">
        <v>24</v>
      </c>
      <c r="L86" s="16">
        <v>0.85</v>
      </c>
      <c r="M86" s="16">
        <v>0.92</v>
      </c>
      <c r="N86" s="15" t="s">
        <v>25</v>
      </c>
      <c r="O86" s="13" t="s">
        <v>527</v>
      </c>
    </row>
    <row r="87" spans="1:15" ht="42" customHeight="1" x14ac:dyDescent="0.3">
      <c r="A87" s="10">
        <v>83</v>
      </c>
      <c r="B87" s="10">
        <v>2</v>
      </c>
      <c r="C87" s="11" t="s">
        <v>405</v>
      </c>
      <c r="D87" s="11" t="s">
        <v>27</v>
      </c>
      <c r="E87" s="11" t="s">
        <v>406</v>
      </c>
      <c r="F87" s="11" t="s">
        <v>407</v>
      </c>
      <c r="G87" s="11" t="s">
        <v>408</v>
      </c>
      <c r="H87" s="11" t="s">
        <v>31</v>
      </c>
      <c r="I87" s="11" t="s">
        <v>32</v>
      </c>
      <c r="J87" s="11" t="s">
        <v>33</v>
      </c>
      <c r="K87" s="11" t="s">
        <v>34</v>
      </c>
      <c r="L87" s="12">
        <v>0.88</v>
      </c>
      <c r="M87" s="12">
        <v>0.78</v>
      </c>
      <c r="N87" s="11" t="s">
        <v>35</v>
      </c>
      <c r="O87" s="13" t="s">
        <v>527</v>
      </c>
    </row>
    <row r="88" spans="1:15" ht="42" customHeight="1" x14ac:dyDescent="0.3">
      <c r="A88" s="14">
        <v>84</v>
      </c>
      <c r="B88" s="14">
        <v>3</v>
      </c>
      <c r="C88" s="15" t="s">
        <v>409</v>
      </c>
      <c r="D88" s="15" t="s">
        <v>37</v>
      </c>
      <c r="E88" s="15" t="s">
        <v>410</v>
      </c>
      <c r="F88" s="15" t="s">
        <v>411</v>
      </c>
      <c r="G88" s="15" t="s">
        <v>412</v>
      </c>
      <c r="H88" s="15" t="s">
        <v>41</v>
      </c>
      <c r="I88" s="15" t="s">
        <v>42</v>
      </c>
      <c r="J88" s="15" t="s">
        <v>43</v>
      </c>
      <c r="K88" s="15" t="s">
        <v>44</v>
      </c>
      <c r="L88" s="16">
        <v>0.82</v>
      </c>
      <c r="M88" s="16">
        <v>0.95</v>
      </c>
      <c r="N88" s="15" t="s">
        <v>45</v>
      </c>
      <c r="O88" s="13" t="s">
        <v>527</v>
      </c>
    </row>
    <row r="89" spans="1:15" ht="42" customHeight="1" x14ac:dyDescent="0.3">
      <c r="A89" s="10">
        <v>85</v>
      </c>
      <c r="B89" s="10">
        <v>4</v>
      </c>
      <c r="C89" s="11" t="s">
        <v>413</v>
      </c>
      <c r="D89" s="11" t="s">
        <v>47</v>
      </c>
      <c r="E89" s="11" t="s">
        <v>414</v>
      </c>
      <c r="F89" s="11" t="s">
        <v>415</v>
      </c>
      <c r="G89" s="11" t="s">
        <v>416</v>
      </c>
      <c r="H89" s="11" t="s">
        <v>51</v>
      </c>
      <c r="I89" s="11" t="s">
        <v>52</v>
      </c>
      <c r="J89" s="11" t="s">
        <v>53</v>
      </c>
      <c r="K89" s="11" t="s">
        <v>54</v>
      </c>
      <c r="L89" s="12">
        <v>0.94</v>
      </c>
      <c r="M89" s="12">
        <v>0.74</v>
      </c>
      <c r="N89" s="11" t="s">
        <v>55</v>
      </c>
      <c r="O89" s="13" t="s">
        <v>527</v>
      </c>
    </row>
    <row r="90" spans="1:15" ht="42" customHeight="1" x14ac:dyDescent="0.3">
      <c r="A90" s="14">
        <v>86</v>
      </c>
      <c r="B90" s="14">
        <v>5</v>
      </c>
      <c r="C90" s="15" t="s">
        <v>417</v>
      </c>
      <c r="D90" s="15" t="s">
        <v>57</v>
      </c>
      <c r="E90" s="15" t="s">
        <v>418</v>
      </c>
      <c r="F90" s="15" t="s">
        <v>419</v>
      </c>
      <c r="G90" s="15" t="s">
        <v>420</v>
      </c>
      <c r="H90" s="15" t="s">
        <v>61</v>
      </c>
      <c r="I90" s="15" t="s">
        <v>62</v>
      </c>
      <c r="J90" s="15" t="s">
        <v>63</v>
      </c>
      <c r="K90" s="15" t="s">
        <v>64</v>
      </c>
      <c r="L90" s="16">
        <v>0.75</v>
      </c>
      <c r="M90" s="16">
        <v>0.96</v>
      </c>
      <c r="N90" s="15" t="s">
        <v>65</v>
      </c>
      <c r="O90" s="13" t="s">
        <v>527</v>
      </c>
    </row>
    <row r="91" spans="1:15" ht="42" customHeight="1" x14ac:dyDescent="0.3">
      <c r="A91" s="10">
        <v>87</v>
      </c>
      <c r="B91" s="10">
        <v>6</v>
      </c>
      <c r="C91" s="11" t="s">
        <v>421</v>
      </c>
      <c r="D91" s="11" t="s">
        <v>67</v>
      </c>
      <c r="E91" s="11" t="s">
        <v>422</v>
      </c>
      <c r="F91" s="11" t="s">
        <v>423</v>
      </c>
      <c r="G91" s="11" t="s">
        <v>424</v>
      </c>
      <c r="H91" s="11" t="s">
        <v>71</v>
      </c>
      <c r="I91" s="11" t="s">
        <v>72</v>
      </c>
      <c r="J91" s="11" t="s">
        <v>73</v>
      </c>
      <c r="K91" s="11" t="s">
        <v>74</v>
      </c>
      <c r="L91" s="12">
        <v>0.9</v>
      </c>
      <c r="M91" s="12">
        <v>0.88</v>
      </c>
      <c r="N91" s="11" t="s">
        <v>75</v>
      </c>
      <c r="O91" s="13" t="s">
        <v>527</v>
      </c>
    </row>
    <row r="92" spans="1:15" ht="42" customHeight="1" x14ac:dyDescent="0.3">
      <c r="A92" s="14">
        <v>88</v>
      </c>
      <c r="B92" s="14">
        <v>7</v>
      </c>
      <c r="C92" s="15" t="s">
        <v>425</v>
      </c>
      <c r="D92" s="15" t="s">
        <v>77</v>
      </c>
      <c r="E92" s="15" t="s">
        <v>426</v>
      </c>
      <c r="F92" s="15" t="s">
        <v>427</v>
      </c>
      <c r="G92" s="15" t="s">
        <v>428</v>
      </c>
      <c r="H92" s="15" t="s">
        <v>81</v>
      </c>
      <c r="I92" s="15" t="s">
        <v>82</v>
      </c>
      <c r="J92" s="15" t="s">
        <v>83</v>
      </c>
      <c r="K92" s="15" t="s">
        <v>84</v>
      </c>
      <c r="L92" s="16">
        <v>0.89</v>
      </c>
      <c r="M92" s="16">
        <v>0.8</v>
      </c>
      <c r="N92" s="15" t="s">
        <v>85</v>
      </c>
      <c r="O92" s="13" t="s">
        <v>527</v>
      </c>
    </row>
    <row r="93" spans="1:15" ht="42" customHeight="1" x14ac:dyDescent="0.3">
      <c r="A93" s="10">
        <v>89</v>
      </c>
      <c r="B93" s="10">
        <v>8</v>
      </c>
      <c r="C93" s="11" t="s">
        <v>429</v>
      </c>
      <c r="D93" s="11" t="s">
        <v>87</v>
      </c>
      <c r="E93" s="11" t="s">
        <v>430</v>
      </c>
      <c r="F93" s="11" t="s">
        <v>431</v>
      </c>
      <c r="G93" s="11" t="s">
        <v>432</v>
      </c>
      <c r="H93" s="11" t="s">
        <v>91</v>
      </c>
      <c r="I93" s="11" t="s">
        <v>92</v>
      </c>
      <c r="J93" s="11" t="s">
        <v>93</v>
      </c>
      <c r="K93" s="11" t="s">
        <v>94</v>
      </c>
      <c r="L93" s="12">
        <v>0.96</v>
      </c>
      <c r="M93" s="12">
        <v>0.85</v>
      </c>
      <c r="N93" s="11" t="s">
        <v>95</v>
      </c>
      <c r="O93" s="13" t="s">
        <v>527</v>
      </c>
    </row>
    <row r="94" spans="1:15" ht="42" customHeight="1" x14ac:dyDescent="0.3">
      <c r="A94" s="14">
        <v>90</v>
      </c>
      <c r="B94" s="14">
        <v>9</v>
      </c>
      <c r="C94" s="15" t="s">
        <v>433</v>
      </c>
      <c r="D94" s="15" t="s">
        <v>97</v>
      </c>
      <c r="E94" s="15" t="s">
        <v>434</v>
      </c>
      <c r="F94" s="15" t="s">
        <v>435</v>
      </c>
      <c r="G94" s="15" t="s">
        <v>436</v>
      </c>
      <c r="H94" s="15" t="s">
        <v>101</v>
      </c>
      <c r="I94" s="15" t="s">
        <v>102</v>
      </c>
      <c r="J94" s="15" t="s">
        <v>103</v>
      </c>
      <c r="K94" s="15" t="s">
        <v>104</v>
      </c>
      <c r="L94" s="16">
        <v>0.79</v>
      </c>
      <c r="M94" s="16">
        <v>0.94</v>
      </c>
      <c r="N94" s="15" t="s">
        <v>105</v>
      </c>
      <c r="O94" s="13" t="s">
        <v>527</v>
      </c>
    </row>
    <row r="95" spans="1:15" ht="42" customHeight="1" x14ac:dyDescent="0.3">
      <c r="A95" s="10">
        <v>91</v>
      </c>
      <c r="B95" s="10">
        <v>1</v>
      </c>
      <c r="C95" s="11" t="s">
        <v>437</v>
      </c>
      <c r="D95" s="11" t="s">
        <v>17</v>
      </c>
      <c r="E95" s="11" t="s">
        <v>438</v>
      </c>
      <c r="F95" s="11" t="s">
        <v>439</v>
      </c>
      <c r="G95" s="11" t="s">
        <v>440</v>
      </c>
      <c r="H95" s="11" t="s">
        <v>21</v>
      </c>
      <c r="I95" s="11" t="s">
        <v>22</v>
      </c>
      <c r="J95" s="11" t="s">
        <v>23</v>
      </c>
      <c r="K95" s="11" t="s">
        <v>24</v>
      </c>
      <c r="L95" s="12">
        <v>0.85</v>
      </c>
      <c r="M95" s="12">
        <v>0.92</v>
      </c>
      <c r="N95" s="11" t="s">
        <v>25</v>
      </c>
      <c r="O95" s="13" t="s">
        <v>527</v>
      </c>
    </row>
    <row r="96" spans="1:15" ht="42" customHeight="1" x14ac:dyDescent="0.3">
      <c r="A96" s="14">
        <v>92</v>
      </c>
      <c r="B96" s="14">
        <v>2</v>
      </c>
      <c r="C96" s="15" t="s">
        <v>441</v>
      </c>
      <c r="D96" s="15" t="s">
        <v>27</v>
      </c>
      <c r="E96" s="15" t="s">
        <v>442</v>
      </c>
      <c r="F96" s="15" t="s">
        <v>443</v>
      </c>
      <c r="G96" s="15" t="s">
        <v>444</v>
      </c>
      <c r="H96" s="15" t="s">
        <v>31</v>
      </c>
      <c r="I96" s="15" t="s">
        <v>32</v>
      </c>
      <c r="J96" s="15" t="s">
        <v>33</v>
      </c>
      <c r="K96" s="15" t="s">
        <v>34</v>
      </c>
      <c r="L96" s="16">
        <v>0.88</v>
      </c>
      <c r="M96" s="16">
        <v>0.78</v>
      </c>
      <c r="N96" s="15" t="s">
        <v>35</v>
      </c>
      <c r="O96" s="13" t="s">
        <v>527</v>
      </c>
    </row>
    <row r="97" spans="1:15" ht="42" customHeight="1" x14ac:dyDescent="0.3">
      <c r="A97" s="10">
        <v>93</v>
      </c>
      <c r="B97" s="10">
        <v>3</v>
      </c>
      <c r="C97" s="11" t="s">
        <v>445</v>
      </c>
      <c r="D97" s="11" t="s">
        <v>37</v>
      </c>
      <c r="E97" s="11" t="s">
        <v>446</v>
      </c>
      <c r="F97" s="11" t="s">
        <v>447</v>
      </c>
      <c r="G97" s="11" t="s">
        <v>448</v>
      </c>
      <c r="H97" s="11" t="s">
        <v>41</v>
      </c>
      <c r="I97" s="11" t="s">
        <v>42</v>
      </c>
      <c r="J97" s="11" t="s">
        <v>43</v>
      </c>
      <c r="K97" s="11" t="s">
        <v>44</v>
      </c>
      <c r="L97" s="12">
        <v>0.82</v>
      </c>
      <c r="M97" s="12">
        <v>0.95</v>
      </c>
      <c r="N97" s="11" t="s">
        <v>45</v>
      </c>
      <c r="O97" s="13" t="s">
        <v>527</v>
      </c>
    </row>
    <row r="98" spans="1:15" ht="42" customHeight="1" x14ac:dyDescent="0.3">
      <c r="A98" s="14">
        <v>94</v>
      </c>
      <c r="B98" s="14">
        <v>4</v>
      </c>
      <c r="C98" s="15" t="s">
        <v>449</v>
      </c>
      <c r="D98" s="15" t="s">
        <v>47</v>
      </c>
      <c r="E98" s="15" t="s">
        <v>450</v>
      </c>
      <c r="F98" s="15" t="s">
        <v>451</v>
      </c>
      <c r="G98" s="15" t="s">
        <v>452</v>
      </c>
      <c r="H98" s="15" t="s">
        <v>51</v>
      </c>
      <c r="I98" s="15" t="s">
        <v>52</v>
      </c>
      <c r="J98" s="15" t="s">
        <v>53</v>
      </c>
      <c r="K98" s="15" t="s">
        <v>54</v>
      </c>
      <c r="L98" s="16">
        <v>0.94</v>
      </c>
      <c r="M98" s="16">
        <v>0.74</v>
      </c>
      <c r="N98" s="15" t="s">
        <v>55</v>
      </c>
      <c r="O98" s="13" t="s">
        <v>527</v>
      </c>
    </row>
    <row r="99" spans="1:15" ht="42" customHeight="1" x14ac:dyDescent="0.3">
      <c r="A99" s="10">
        <v>95</v>
      </c>
      <c r="B99" s="10">
        <v>5</v>
      </c>
      <c r="C99" s="11" t="s">
        <v>453</v>
      </c>
      <c r="D99" s="11" t="s">
        <v>57</v>
      </c>
      <c r="E99" s="11" t="s">
        <v>454</v>
      </c>
      <c r="F99" s="11" t="s">
        <v>455</v>
      </c>
      <c r="G99" s="11" t="s">
        <v>456</v>
      </c>
      <c r="H99" s="11" t="s">
        <v>61</v>
      </c>
      <c r="I99" s="11" t="s">
        <v>62</v>
      </c>
      <c r="J99" s="11" t="s">
        <v>63</v>
      </c>
      <c r="K99" s="11" t="s">
        <v>64</v>
      </c>
      <c r="L99" s="12">
        <v>0.75</v>
      </c>
      <c r="M99" s="12">
        <v>0.96</v>
      </c>
      <c r="N99" s="11" t="s">
        <v>65</v>
      </c>
      <c r="O99" s="13" t="s">
        <v>527</v>
      </c>
    </row>
    <row r="100" spans="1:15" ht="42" customHeight="1" x14ac:dyDescent="0.3">
      <c r="A100" s="14">
        <v>96</v>
      </c>
      <c r="B100" s="14">
        <v>6</v>
      </c>
      <c r="C100" s="15" t="s">
        <v>457</v>
      </c>
      <c r="D100" s="15" t="s">
        <v>67</v>
      </c>
      <c r="E100" s="15" t="s">
        <v>458</v>
      </c>
      <c r="F100" s="15" t="s">
        <v>459</v>
      </c>
      <c r="G100" s="15" t="s">
        <v>460</v>
      </c>
      <c r="H100" s="15" t="s">
        <v>71</v>
      </c>
      <c r="I100" s="15" t="s">
        <v>72</v>
      </c>
      <c r="J100" s="15" t="s">
        <v>73</v>
      </c>
      <c r="K100" s="15" t="s">
        <v>74</v>
      </c>
      <c r="L100" s="16">
        <v>0.9</v>
      </c>
      <c r="M100" s="16">
        <v>0.88</v>
      </c>
      <c r="N100" s="15" t="s">
        <v>75</v>
      </c>
      <c r="O100" s="13" t="s">
        <v>527</v>
      </c>
    </row>
    <row r="101" spans="1:15" ht="42" customHeight="1" x14ac:dyDescent="0.3">
      <c r="A101" s="10">
        <v>97</v>
      </c>
      <c r="B101" s="10">
        <v>7</v>
      </c>
      <c r="C101" s="11" t="s">
        <v>461</v>
      </c>
      <c r="D101" s="11" t="s">
        <v>77</v>
      </c>
      <c r="E101" s="11" t="s">
        <v>462</v>
      </c>
      <c r="F101" s="11" t="s">
        <v>463</v>
      </c>
      <c r="G101" s="11" t="s">
        <v>464</v>
      </c>
      <c r="H101" s="11" t="s">
        <v>81</v>
      </c>
      <c r="I101" s="11" t="s">
        <v>82</v>
      </c>
      <c r="J101" s="11" t="s">
        <v>83</v>
      </c>
      <c r="K101" s="11" t="s">
        <v>84</v>
      </c>
      <c r="L101" s="12">
        <v>0.89</v>
      </c>
      <c r="M101" s="12">
        <v>0.8</v>
      </c>
      <c r="N101" s="11" t="s">
        <v>85</v>
      </c>
      <c r="O101" s="13" t="s">
        <v>527</v>
      </c>
    </row>
    <row r="102" spans="1:15" ht="42" customHeight="1" x14ac:dyDescent="0.3">
      <c r="A102" s="14">
        <v>98</v>
      </c>
      <c r="B102" s="14">
        <v>8</v>
      </c>
      <c r="C102" s="15" t="s">
        <v>465</v>
      </c>
      <c r="D102" s="15" t="s">
        <v>87</v>
      </c>
      <c r="E102" s="15" t="s">
        <v>466</v>
      </c>
      <c r="F102" s="15" t="s">
        <v>467</v>
      </c>
      <c r="G102" s="15" t="s">
        <v>468</v>
      </c>
      <c r="H102" s="15" t="s">
        <v>91</v>
      </c>
      <c r="I102" s="15" t="s">
        <v>92</v>
      </c>
      <c r="J102" s="15" t="s">
        <v>93</v>
      </c>
      <c r="K102" s="15" t="s">
        <v>94</v>
      </c>
      <c r="L102" s="16">
        <v>0.96</v>
      </c>
      <c r="M102" s="16">
        <v>0.85</v>
      </c>
      <c r="N102" s="15" t="s">
        <v>95</v>
      </c>
      <c r="O102" s="13" t="s">
        <v>527</v>
      </c>
    </row>
    <row r="103" spans="1:15" ht="42" customHeight="1" x14ac:dyDescent="0.3">
      <c r="A103" s="10">
        <v>99</v>
      </c>
      <c r="B103" s="10">
        <v>9</v>
      </c>
      <c r="C103" s="11" t="s">
        <v>469</v>
      </c>
      <c r="D103" s="11" t="s">
        <v>97</v>
      </c>
      <c r="E103" s="11" t="s">
        <v>470</v>
      </c>
      <c r="F103" s="11" t="s">
        <v>471</v>
      </c>
      <c r="G103" s="11" t="s">
        <v>472</v>
      </c>
      <c r="H103" s="11" t="s">
        <v>101</v>
      </c>
      <c r="I103" s="11" t="s">
        <v>102</v>
      </c>
      <c r="J103" s="11" t="s">
        <v>103</v>
      </c>
      <c r="K103" s="11" t="s">
        <v>104</v>
      </c>
      <c r="L103" s="12">
        <v>0.79</v>
      </c>
      <c r="M103" s="12">
        <v>0.94</v>
      </c>
      <c r="N103" s="11" t="s">
        <v>105</v>
      </c>
      <c r="O103" s="13" t="s">
        <v>527</v>
      </c>
    </row>
  </sheetData>
  <mergeCells count="1">
    <mergeCell ref="A1:O2"/>
  </mergeCells>
  <conditionalFormatting sqref="L5:M103">
    <cfRule type="cellIs" dxfId="0" priority="1" operator="greaterThan">
      <formula>0.85</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8"/>
  <sheetViews>
    <sheetView workbookViewId="0"/>
  </sheetViews>
  <sheetFormatPr defaultRowHeight="14.4" x14ac:dyDescent="0.3"/>
  <cols>
    <col min="1" max="1" width="30" customWidth="1"/>
    <col min="2" max="2" width="35" customWidth="1"/>
    <col min="3" max="7" width="15" customWidth="1"/>
  </cols>
  <sheetData>
    <row r="1" spans="1:7" x14ac:dyDescent="0.3">
      <c r="A1" s="20" t="s">
        <v>473</v>
      </c>
      <c r="B1" s="18"/>
      <c r="C1" s="18"/>
      <c r="D1" s="18"/>
      <c r="E1" s="18"/>
      <c r="F1" s="18"/>
      <c r="G1" s="18"/>
    </row>
    <row r="2" spans="1:7" x14ac:dyDescent="0.3">
      <c r="A2" s="18"/>
      <c r="B2" s="18"/>
      <c r="C2" s="18"/>
      <c r="D2" s="18"/>
      <c r="E2" s="18"/>
      <c r="F2" s="18"/>
      <c r="G2" s="18"/>
    </row>
    <row r="4" spans="1:7" ht="15.6" x14ac:dyDescent="0.3">
      <c r="A4" s="5" t="s">
        <v>474</v>
      </c>
    </row>
    <row r="5" spans="1:7" x14ac:dyDescent="0.3">
      <c r="A5" s="6" t="s">
        <v>475</v>
      </c>
      <c r="B5" s="7" t="s">
        <v>476</v>
      </c>
    </row>
    <row r="6" spans="1:7" x14ac:dyDescent="0.3">
      <c r="A6" s="6" t="s">
        <v>477</v>
      </c>
      <c r="B6" s="7">
        <v>5</v>
      </c>
    </row>
    <row r="7" spans="1:7" x14ac:dyDescent="0.3">
      <c r="A7" s="6" t="s">
        <v>478</v>
      </c>
      <c r="B7" s="7" t="s">
        <v>479</v>
      </c>
    </row>
    <row r="8" spans="1:7" x14ac:dyDescent="0.3">
      <c r="A8" s="6" t="s">
        <v>480</v>
      </c>
      <c r="B8" s="7">
        <v>24</v>
      </c>
    </row>
    <row r="10" spans="1:7" ht="15.6" x14ac:dyDescent="0.3">
      <c r="A10" s="5" t="s">
        <v>481</v>
      </c>
    </row>
    <row r="12" spans="1:7" x14ac:dyDescent="0.3">
      <c r="A12" s="8" t="s">
        <v>482</v>
      </c>
    </row>
    <row r="13" spans="1:7" x14ac:dyDescent="0.3">
      <c r="A13" s="19" t="str">
        <f>"Act as a world-class corporate numerologist and business strategist. Analyze the business name '" &amp; B5 &amp; "' which evaluates to Compound Number " &amp; B8 &amp; ". The company operates in " &amp; B7 &amp; ". Evaluate its compatibility with a founder with Life Path " &amp; B6 &amp; ". Provide a detailed breakdown of: 1) Core Brand Archetype, 2) Revenue &amp; Cash Flow Dynamics, 3) Market Risk Exposure, and 4) 5-Year Strategic Expansion Path."</f>
        <v>Act as a world-class corporate numerologist and business strategist. Analyze the business name 'Quantum Pay Tech' which evaluates to Compound Number 24. The company operates in Fintech &amp; Financial Infrastructure. Evaluate its compatibility with a founder with Life Path 5. Provide a detailed breakdown of: 1) Core Brand Archetype, 2) Revenue &amp; Cash Flow Dynamics, 3) Market Risk Exposure, and 4) 5-Year Strategic Expansion Path.</v>
      </c>
      <c r="B13" s="18"/>
      <c r="C13" s="18"/>
      <c r="D13" s="18"/>
      <c r="E13" s="18"/>
      <c r="F13" s="18"/>
      <c r="G13" s="18"/>
    </row>
    <row r="14" spans="1:7" x14ac:dyDescent="0.3">
      <c r="A14" s="18"/>
      <c r="B14" s="18"/>
      <c r="C14" s="18"/>
      <c r="D14" s="18"/>
      <c r="E14" s="18"/>
      <c r="F14" s="18"/>
      <c r="G14" s="18"/>
    </row>
    <row r="15" spans="1:7" x14ac:dyDescent="0.3">
      <c r="A15" s="18"/>
      <c r="B15" s="18"/>
      <c r="C15" s="18"/>
      <c r="D15" s="18"/>
      <c r="E15" s="18"/>
      <c r="F15" s="18"/>
      <c r="G15" s="18"/>
    </row>
    <row r="16" spans="1:7" x14ac:dyDescent="0.3">
      <c r="A16" s="18"/>
      <c r="B16" s="18"/>
      <c r="C16" s="18"/>
      <c r="D16" s="18"/>
      <c r="E16" s="18"/>
      <c r="F16" s="18"/>
      <c r="G16" s="18"/>
    </row>
    <row r="18" spans="1:7" x14ac:dyDescent="0.3">
      <c r="A18" s="8" t="s">
        <v>483</v>
      </c>
    </row>
    <row r="19" spans="1:7" x14ac:dyDescent="0.3">
      <c r="A19" s="19" t="str">
        <f>"Write an investor positioning summary for '" &amp; B5 &amp; "' (Chaldean Number " &amp; B8 &amp; "). Explain how this vibrational frequency enhances brand trust, customer acquisition, and long-term enterprise valuation in the " &amp; B7 &amp; " industry. Highlight key mitigation strategies for the primary risk factor of this number."</f>
        <v>Write an investor positioning summary for 'Quantum Pay Tech' (Chaldean Number 24). Explain how this vibrational frequency enhances brand trust, customer acquisition, and long-term enterprise valuation in the Fintech &amp; Financial Infrastructure industry. Highlight key mitigation strategies for the primary risk factor of this number.</v>
      </c>
      <c r="B19" s="18"/>
      <c r="C19" s="18"/>
      <c r="D19" s="18"/>
      <c r="E19" s="18"/>
      <c r="F19" s="18"/>
      <c r="G19" s="18"/>
    </row>
    <row r="20" spans="1:7" x14ac:dyDescent="0.3">
      <c r="A20" s="18"/>
      <c r="B20" s="18"/>
      <c r="C20" s="18"/>
      <c r="D20" s="18"/>
      <c r="E20" s="18"/>
      <c r="F20" s="18"/>
      <c r="G20" s="18"/>
    </row>
    <row r="21" spans="1:7" x14ac:dyDescent="0.3">
      <c r="A21" s="18"/>
      <c r="B21" s="18"/>
      <c r="C21" s="18"/>
      <c r="D21" s="18"/>
      <c r="E21" s="18"/>
      <c r="F21" s="18"/>
      <c r="G21" s="18"/>
    </row>
    <row r="22" spans="1:7" x14ac:dyDescent="0.3">
      <c r="A22" s="18"/>
      <c r="B22" s="18"/>
      <c r="C22" s="18"/>
      <c r="D22" s="18"/>
      <c r="E22" s="18"/>
      <c r="F22" s="18"/>
      <c r="G22" s="18"/>
    </row>
    <row r="24" spans="1:7" x14ac:dyDescent="0.3">
      <c r="A24" s="8" t="s">
        <v>484</v>
      </c>
    </row>
    <row r="25" spans="1:7" x14ac:dyDescent="0.3">
      <c r="A25" s="19" t="str">
        <f>"Evaluate the alignment between Founder (Life Path " &amp; B6 &amp; ") and Business Entity '" &amp; B5 &amp; "' (Compound " &amp; B8 &amp; "). Identify areas of natural synergy and potential operational friction. Recommend specific brand naming adjustments or sub-brand alignments to maximize harmony and financial yield."</f>
        <v>Evaluate the alignment between Founder (Life Path 5) and Business Entity 'Quantum Pay Tech' (Compound 24). Identify areas of natural synergy and potential operational friction. Recommend specific brand naming adjustments or sub-brand alignments to maximize harmony and financial yield.</v>
      </c>
      <c r="B25" s="18"/>
      <c r="C25" s="18"/>
      <c r="D25" s="18"/>
      <c r="E25" s="18"/>
      <c r="F25" s="18"/>
      <c r="G25" s="18"/>
    </row>
    <row r="26" spans="1:7" x14ac:dyDescent="0.3">
      <c r="A26" s="18"/>
      <c r="B26" s="18"/>
      <c r="C26" s="18"/>
      <c r="D26" s="18"/>
      <c r="E26" s="18"/>
      <c r="F26" s="18"/>
      <c r="G26" s="18"/>
    </row>
    <row r="27" spans="1:7" x14ac:dyDescent="0.3">
      <c r="A27" s="18"/>
      <c r="B27" s="18"/>
      <c r="C27" s="18"/>
      <c r="D27" s="18"/>
      <c r="E27" s="18"/>
      <c r="F27" s="18"/>
      <c r="G27" s="18"/>
    </row>
    <row r="28" spans="1:7" x14ac:dyDescent="0.3">
      <c r="A28" s="18"/>
      <c r="B28" s="18"/>
      <c r="C28" s="18"/>
      <c r="D28" s="18"/>
      <c r="E28" s="18"/>
      <c r="F28" s="18"/>
      <c r="G28" s="18"/>
    </row>
  </sheetData>
  <mergeCells count="4">
    <mergeCell ref="A13:G16"/>
    <mergeCell ref="A19:G22"/>
    <mergeCell ref="A25:G28"/>
    <mergeCell ref="A1:G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
  <sheetViews>
    <sheetView workbookViewId="0"/>
  </sheetViews>
  <sheetFormatPr defaultRowHeight="14.4" x14ac:dyDescent="0.3"/>
  <cols>
    <col min="1" max="1" width="15" customWidth="1"/>
    <col min="2" max="3" width="25" customWidth="1"/>
    <col min="4" max="4" width="35" customWidth="1"/>
    <col min="5" max="5" width="45" customWidth="1"/>
  </cols>
  <sheetData>
    <row r="1" spans="1:5" x14ac:dyDescent="0.3">
      <c r="A1" s="20" t="s">
        <v>485</v>
      </c>
      <c r="B1" s="18"/>
      <c r="C1" s="18"/>
      <c r="D1" s="18"/>
      <c r="E1" s="18"/>
    </row>
    <row r="2" spans="1:5" x14ac:dyDescent="0.3">
      <c r="A2" s="18"/>
      <c r="B2" s="18"/>
      <c r="C2" s="18"/>
      <c r="D2" s="18"/>
      <c r="E2" s="18"/>
    </row>
    <row r="4" spans="1:5" ht="25.05" customHeight="1" x14ac:dyDescent="0.3">
      <c r="A4" s="9" t="s">
        <v>486</v>
      </c>
      <c r="B4" s="9" t="s">
        <v>487</v>
      </c>
      <c r="C4" s="9" t="s">
        <v>488</v>
      </c>
      <c r="D4" s="9" t="s">
        <v>489</v>
      </c>
      <c r="E4" s="9" t="s">
        <v>490</v>
      </c>
    </row>
    <row r="5" spans="1:5" ht="25.05" customHeight="1" x14ac:dyDescent="0.3">
      <c r="A5" s="1">
        <v>1</v>
      </c>
      <c r="B5" s="2" t="s">
        <v>491</v>
      </c>
      <c r="C5" s="2" t="s">
        <v>492</v>
      </c>
      <c r="D5" s="2" t="s">
        <v>493</v>
      </c>
      <c r="E5" s="2" t="s">
        <v>494</v>
      </c>
    </row>
    <row r="6" spans="1:5" ht="25.05" customHeight="1" x14ac:dyDescent="0.3">
      <c r="A6" s="3">
        <v>2</v>
      </c>
      <c r="B6" s="4" t="s">
        <v>495</v>
      </c>
      <c r="C6" s="4" t="s">
        <v>496</v>
      </c>
      <c r="D6" s="4" t="s">
        <v>497</v>
      </c>
      <c r="E6" s="4" t="s">
        <v>498</v>
      </c>
    </row>
    <row r="7" spans="1:5" ht="25.05" customHeight="1" x14ac:dyDescent="0.3">
      <c r="A7" s="1">
        <v>3</v>
      </c>
      <c r="B7" s="2" t="s">
        <v>499</v>
      </c>
      <c r="C7" s="2" t="s">
        <v>500</v>
      </c>
      <c r="D7" s="2" t="s">
        <v>501</v>
      </c>
      <c r="E7" s="2" t="s">
        <v>502</v>
      </c>
    </row>
    <row r="8" spans="1:5" ht="25.05" customHeight="1" x14ac:dyDescent="0.3">
      <c r="A8" s="3">
        <v>4</v>
      </c>
      <c r="B8" s="4" t="s">
        <v>503</v>
      </c>
      <c r="C8" s="4" t="s">
        <v>504</v>
      </c>
      <c r="D8" s="4" t="s">
        <v>505</v>
      </c>
      <c r="E8" s="4" t="s">
        <v>506</v>
      </c>
    </row>
    <row r="9" spans="1:5" ht="25.05" customHeight="1" x14ac:dyDescent="0.3">
      <c r="A9" s="1">
        <v>5</v>
      </c>
      <c r="B9" s="2" t="s">
        <v>507</v>
      </c>
      <c r="C9" s="2" t="s">
        <v>508</v>
      </c>
      <c r="D9" s="2" t="s">
        <v>509</v>
      </c>
      <c r="E9" s="2" t="s">
        <v>510</v>
      </c>
    </row>
    <row r="10" spans="1:5" ht="25.05" customHeight="1" x14ac:dyDescent="0.3">
      <c r="A10" s="3">
        <v>6</v>
      </c>
      <c r="B10" s="4" t="s">
        <v>511</v>
      </c>
      <c r="C10" s="4" t="s">
        <v>512</v>
      </c>
      <c r="D10" s="4" t="s">
        <v>513</v>
      </c>
      <c r="E10" s="4" t="s">
        <v>514</v>
      </c>
    </row>
    <row r="11" spans="1:5" ht="25.05" customHeight="1" x14ac:dyDescent="0.3">
      <c r="A11" s="1">
        <v>7</v>
      </c>
      <c r="B11" s="2" t="s">
        <v>515</v>
      </c>
      <c r="C11" s="2" t="s">
        <v>516</v>
      </c>
      <c r="D11" s="2" t="s">
        <v>517</v>
      </c>
      <c r="E11" s="2" t="s">
        <v>518</v>
      </c>
    </row>
    <row r="12" spans="1:5" ht="25.05" customHeight="1" x14ac:dyDescent="0.3">
      <c r="A12" s="3">
        <v>8</v>
      </c>
      <c r="B12" s="4" t="s">
        <v>519</v>
      </c>
      <c r="C12" s="4" t="s">
        <v>520</v>
      </c>
      <c r="D12" s="4" t="s">
        <v>521</v>
      </c>
      <c r="E12" s="4" t="s">
        <v>522</v>
      </c>
    </row>
    <row r="13" spans="1:5" ht="25.05" customHeight="1" x14ac:dyDescent="0.3">
      <c r="A13" s="1">
        <v>9</v>
      </c>
      <c r="B13" s="2" t="s">
        <v>523</v>
      </c>
      <c r="C13" s="2" t="s">
        <v>524</v>
      </c>
      <c r="D13" s="2" t="s">
        <v>525</v>
      </c>
      <c r="E13" s="2" t="s">
        <v>526</v>
      </c>
    </row>
  </sheetData>
  <mergeCells count="1">
    <mergeCell ref="A1:E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Master Database</vt:lpstr>
      <vt:lpstr>AI Interpretation Prompt Builde</vt:lpstr>
      <vt:lpstr>Chaldean Reference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 asus</cp:lastModifiedBy>
  <dcterms:created xsi:type="dcterms:W3CDTF">2026-08-30T19:10:38Z</dcterms:created>
  <dcterms:modified xsi:type="dcterms:W3CDTF">2026-09-02T11:55:06Z</dcterms:modified>
</cp:coreProperties>
</file>